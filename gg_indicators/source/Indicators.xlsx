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coring Schema" sheetId="2" state="visible" r:id="rId4"/>
    <sheet name="Change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<sst xmlns="http://schemas.openxmlformats.org/spreadsheetml/2006/main" count="777" uniqueCount="485">
  <si>
    <t xml:space="preserve">Variable</t>
  </si>
  <si>
    <t xml:space="preserve">Status</t>
  </si>
  <si>
    <t xml:space="preserve">Proxy</t>
  </si>
  <si>
    <t xml:space="preserve">Indicator</t>
  </si>
  <si>
    <t xml:space="preserve">Comment</t>
  </si>
  <si>
    <t xml:space="preserve">Source</t>
  </si>
  <si>
    <t xml:space="preserve">Management Age</t>
  </si>
  <si>
    <t xml:space="preserve">Low</t>
  </si>
  <si>
    <t xml:space="preserve">Average age of the executive team (CEO, CFO, COO, board), from public bios or officer records</t>
  </si>
  <si>
    <t xml:space="preserve">[READINESS] A younger executive team tends to be less anchored to legacy habits and faster to adopt new practices, echoing the 'young generation ready to revolutionize the business model' pattern already used in VIENNA to flag succession-driven openness.</t>
  </si>
  <si>
    <t xml:space="preserve">Correlation, not causation: some young leaders are more conservative than their predecessors. Use jointly with 'New Generation of Management' rather than alone.</t>
  </si>
  <si>
    <t xml:space="preserve">LinkedIn executive profiles, company leadership page, Handelsregister officer records, press bios</t>
  </si>
  <si>
    <t xml:space="preserve">Management National diversity</t>
  </si>
  <si>
    <t xml:space="preserve">High</t>
  </si>
  <si>
    <t xml:space="preserve">Nationality mix of the executive team and board, from public bios/LinkedIn</t>
  </si>
  <si>
    <t xml:space="preserve">[READINESS] Executives with international backgrounds are more likely to have been exposed to open-innovation practices abroad and less anchored to purely domestic norms.</t>
  </si>
  <si>
    <t xml:space="preserve">Weak signal alone; most useful combined with the International Sales Volume and Years of International Activity rows.</t>
  </si>
  <si>
    <t xml:space="preserve">LinkedIn, company leadership page, press bios</t>
  </si>
  <si>
    <t xml:space="preserve">Management cultural diversity</t>
  </si>
  <si>
    <t xml:space="preserve">Cultural/educational background mix of the executive team, inferred from bios and education history across countries</t>
  </si>
  <si>
    <t xml:space="preserve">[READINESS] A management team drawing on varied cultural reference points tends to score higher on openness to unfamiliar ideas, similar to nationality diversity.</t>
  </si>
  <si>
    <t xml:space="preserve">Overlaps heavily with Management National Diversity, treat as a secondary confirmation signal rather than an independent one to avoid double-counting in a composite score.</t>
  </si>
  <si>
    <t xml:space="preserve">LinkedIn, bios, education history</t>
  </si>
  <si>
    <t xml:space="preserve">Management gender diversity</t>
  </si>
  <si>
    <t xml:space="preserve">% of women in the executive team and on the supervisory board</t>
  </si>
  <si>
    <t xml:space="preserve">[READINESS] More gender-balanced leadership teams are associated in the management literature with broader information search and less groupthink, a weak positive proxy for openness.</t>
  </si>
  <si>
    <t xml:space="preserve">Evidence in the literature is mixed with small effect sizes; weight lower than succession or education signals in any composite score.</t>
  </si>
  <si>
    <t xml:space="preserve">LinkedIn, company leadership page, Handelsregister officer listing</t>
  </si>
  <si>
    <t xml:space="preserve">Management level of education</t>
  </si>
  <si>
    <t xml:space="preserve">Share of the executive team holding a university degree or higher (Master's / MBA / PhD)</t>
  </si>
  <si>
    <t xml:space="preserve">[READINESS] Higher formal education correlates with greater comfort engaging with a structured, metrics-driven pilot framework like GG's, and faster uptake of unfamiliar analytical tools.</t>
  </si>
  <si>
    <t xml:space="preserve">Confidence: medium. Education level is easy to source for executives but rarely disclosed for the wider workforce, so treat this specifically as a leadership-team variable.</t>
  </si>
  <si>
    <t xml:space="preserve">LinkedIn education history, university alumni announcements, press bios</t>
  </si>
  <si>
    <t xml:space="preserve">Management diversity of education</t>
  </si>
  <si>
    <t xml:space="preserve">Range of academic disciplines represented across the executive team (engineering, business, law, sciences, etc.)</t>
  </si>
  <si>
    <t xml:space="preserve">[READINESS] Cross-disciplinary leadership is more likely to recognize an unfamiliar external idea as relevant rather than dismiss it as outside its frame of reference.</t>
  </si>
  <si>
    <t xml:space="preserve">Confidence: medium, and best read together with row 6 rather than as an independent signal.</t>
  </si>
  <si>
    <t xml:space="preserve">LinkedIn education history</t>
  </si>
  <si>
    <t xml:space="preserve">New Generation of management</t>
  </si>
  <si>
    <t xml:space="preserve">Recent</t>
  </si>
  <si>
    <t xml:space="preserve">Family surname appearance in management</t>
  </si>
  <si>
    <t xml:space="preserve">[BOTH] A recent generational handover is both a NEED signal (incoming leadership typically wants to establish its own track record and reposition the business) and a READINESS signal (a newly installed generation is usually the most open to revising the business model, matching the succession pattern already flagged in VIENNA).</t>
  </si>
  <si>
    <t xml:space="preserve">The strongest single trigger-event variable in this table. Pair with Management Age for confirmation; treat a handover under 2 years old as a priority outreach signal.</t>
  </si>
  <si>
    <t xml:space="preserve">Handelsregister officer change filings, press releases announcing new CEO/MD, company 'our story' page</t>
  </si>
  <si>
    <t xml:space="preserve">Turnover of management</t>
  </si>
  <si>
    <t xml:space="preserve">Number of C-suite/MD changes in the past 3 years</t>
  </si>
  <si>
    <t xml:space="preserve">[NEED] Frequent leadership turnover often coincides with a company actively searching for a new strategic direction, a NEED signal, though it carries the execution risk already noted in the existing comment.</t>
  </si>
  <si>
    <t xml:space="preserve">Could be a liability: company needs to find its way, but might not have the time</t>
  </si>
  <si>
    <t xml:space="preserve">Handelsregister officer change filings, press releases</t>
  </si>
  <si>
    <t xml:space="preserve">External collaboration</t>
  </si>
  <si>
    <t xml:space="preserve">Happened before</t>
  </si>
  <si>
    <t xml:space="preserve">Documented past partnerships with startups, universities, accelerators, or corporate venturing programs</t>
  </si>
  <si>
    <t xml:space="preserve">[READINESS] Prior participation in any external collaboration is the strongest behavioral proof of readiness available: it is revealed preference, not stated intent, and directly de-risks GG's pitch since the company has already cleared its internal approval hurdle once before.</t>
  </si>
  <si>
    <t xml:space="preserve">Weight more heavily than any self-reported openness variable, since it reflects observed behavior rather than a survey response.</t>
  </si>
  <si>
    <t xml:space="preserve">Press releases, university/accelerator case studies, company 'partners' page, patent co-assignments</t>
  </si>
  <si>
    <t xml:space="preserve">Interdepartmental collaboration</t>
  </si>
  <si>
    <t xml:space="preserve">Not directly observable pre-contact in most cases; approximated via org-chart flatness or job postings mentioning 'cross-functional teams'</t>
  </si>
  <si>
    <t xml:space="preserve">[READINESS] Low silo-ing correlates with faster internal alignment to actually launch and staff a time-boxed pilot without a lengthy internal negotiation.</t>
  </si>
  <si>
    <t xml:space="preserve">Genuinely hard to source externally; best captured through a short first-contact questionnaire during the Diagnosi/scoping call rather than desk research.</t>
  </si>
  <si>
    <t xml:space="preserve">First-contact questionnaire (primary data), job postings mentioning cross-functional work, org chart if published</t>
  </si>
  <si>
    <t xml:space="preserve">Verticality in the structure</t>
  </si>
  <si>
    <t xml:space="preserve">Number of management layers between CEO and frontline staff, or self-reported at first contact</t>
  </si>
  <si>
    <t xml:space="preserve">[READINESS] Flatter hierarchies shorten the pilot approval chain, directly reducing the 'commitment gap / long complex sale' risk already flagged for SKEPTIC-level companies in VIENNA.</t>
  </si>
  <si>
    <t xml:space="preserve">Same sourcing limitation as the row above; best confirmed at first contact rather than assumed from desk research.</t>
  </si>
  <si>
    <t xml:space="preserve">First-contact questionnaire, org chart if published, headcount as a rough proxy (smaller firms tend to be flatter)</t>
  </si>
  <si>
    <t xml:space="preserve">Employee turnover</t>
  </si>
  <si>
    <t xml:space="preserve">Staff attrition rate, estimated via LinkedIn tenure distribution or Kununu/Glassdoor review mentions</t>
  </si>
  <si>
    <t xml:space="preserve">[READINESS] Low turnover signals a stable operating base able to sustain a structured pilot through to completion. Flag the dual reading: very low turnover can also mean entrenched routines and resistance to change, so treat this as a necessary-but-not-sufficient enabler rather than a positive openness signal on its own.</t>
  </si>
  <si>
    <t xml:space="preserve">Cross-reference against Kununu/Glassdoor sentiment (see new row below) before scoring, since low turnover with poor reviews likely means people are staying out of necessity, not satisfaction.</t>
  </si>
  <si>
    <t xml:space="preserve">LinkedIn tenure distribution, Kununu/Glassdoor reviews, Bundesagentur für Arbeit regional turnover statistics as benchmark</t>
  </si>
  <si>
    <t xml:space="preserve">Number of Employees</t>
  </si>
  <si>
    <t xml:space="preserve">Moderate</t>
  </si>
  <si>
    <t xml:space="preserve">Headcount, from Handelsregister/company register filings or LinkedIn company page</t>
  </si>
  <si>
    <t xml:space="preserve">[READINESS] Primarily a segment-fit filter rather than a need/openness signal: it operationalizes your own Mittelstand-vs-SME distinction, large enough to have structured budget and some innovation appetite, small enough to still move fast.</t>
  </si>
  <si>
    <t xml:space="preserve">Set explicit lower/upper headcount bounds once Stage 1 pilot data shows what actually worked; this variable should anchor your segment cutoff.</t>
  </si>
  <si>
    <t xml:space="preserve">Handelsregister, company website, LinkedIn company page, Bundesanzeiger filings</t>
  </si>
  <si>
    <t xml:space="preserve">Average Salary</t>
  </si>
  <si>
    <t xml:space="preserve">Medium-High</t>
  </si>
  <si>
    <t xml:space="preserve">Average personnel cost per employee (Personalaufwand ÷ headcount), from Bundesanzeiger filings</t>
  </si>
  <si>
    <t xml:space="preserve">[READINESS] Above-average pay suggests the company can attract and retain more skilled staff, a proxy for the internal capacity needed to actually run and absorb a pilot's findings.</t>
  </si>
  <si>
    <t xml:space="preserve">Benchmark against sector-average personnel cost per employee rather than an absolute threshold, since 'Medium-High' varies a lot by industry.</t>
  </si>
  <si>
    <t xml:space="preserve">Bundesanzeiger annual filings (Personalaufwand line), Kununu/Glassdoor salary estimates</t>
  </si>
  <si>
    <t xml:space="preserve">Skilled Labour</t>
  </si>
  <si>
    <t xml:space="preserve">Share of roles requiring a technical/university qualification, from job postings and LinkedIn skill tags</t>
  </si>
  <si>
    <t xml:space="preserve">[READINESS] A more technically skilled workforce lowers the onboarding cost of a new tool or process, directly reducing pilot execution risk.</t>
  </si>
  <si>
    <t xml:space="preserve">Overlaps with Average Salary; the two together are a stronger signal than either alone.</t>
  </si>
  <si>
    <t xml:space="preserve">Job postings (Stepstone, Indeed), LinkedIn employee skill/role data</t>
  </si>
  <si>
    <t xml:space="preserve">Volume of online sales</t>
  </si>
  <si>
    <t xml:space="preserve">Estimated e-commerce revenue share, from website/checkout presence or annual report management commentary</t>
  </si>
  <si>
    <t xml:space="preserve">[NEED] Low online sales volume relative to industry peers is a direct, quantifiable innovation gap, precisely the kind of unmet need a digital-enablement pilot can target.</t>
  </si>
  <si>
    <t xml:space="preserve">Hard to estimate precisely without direct disclosure; treat any figure derived from traffic tools as directional, not exact.</t>
  </si>
  <si>
    <t xml:space="preserve">Similarweb/website traffic estimate, annual report management commentary, industry benchmark reports</t>
  </si>
  <si>
    <t xml:space="preserve">Online market presence</t>
  </si>
  <si>
    <t xml:space="preserve">No/not developed</t>
  </si>
  <si>
    <t xml:space="preserve">Presence and quality of e-commerce site, social media activity, SEO visibility</t>
  </si>
  <si>
    <t xml:space="preserve">[NEED] An underdeveloped online presence is one of the most visible, easily verified NEED signals available before any direct contact, and one of the easiest pilot categories to scope (digital storefront, marketing automation, etc.).</t>
  </si>
  <si>
    <t xml:space="preserve">Fastest variable to check pre-contact, worth using as an early-stage filter before investing research time in the harder-to-source financial variables.</t>
  </si>
  <si>
    <t xml:space="preserve">Company website audit, BuiltWith/Wayback Machine, social media presence check</t>
  </si>
  <si>
    <t xml:space="preserve">Number of physical stores</t>
  </si>
  <si>
    <t xml:space="preserve">Declining</t>
  </si>
  <si>
    <t xml:space="preserve">Store count over time, from company website store locator or press releases</t>
  </si>
  <si>
    <t xml:space="preserve">[NEED] A shrinking physical footprint without a compensating digital channel signals an unaddressed transition problem, exactly the kind of structural need GG's channel-innovation pilots exist to solve.</t>
  </si>
  <si>
    <t xml:space="preserve">If the company is pure B2B with no retail footprint, this variable does not apply; treat as null rather than 'zero = need'.</t>
  </si>
  <si>
    <t xml:space="preserve">Company website store locator, press releases, historical Google Maps listings</t>
  </si>
  <si>
    <t xml:space="preserve">Geographic distribution of stores</t>
  </si>
  <si>
    <t xml:space="preserve">Concentrated in a single region</t>
  </si>
  <si>
    <t xml:space="preserve">Number of distinct regions/postal areas served, from store locator or delivery-area disclosure</t>
  </si>
  <si>
    <t xml:space="preserve">[NEED] A geographically concentrated footprint with no digital expansion into other regions represents unrealized growth GG could help unlock via new channels.</t>
  </si>
  <si>
    <t xml:space="preserve">Same B2B applicability caveat as the row above.</t>
  </si>
  <si>
    <t xml:space="preserve">Company website, Handelsregister branch (Zweigniederlassung) filings</t>
  </si>
  <si>
    <t xml:space="preserve">International Sales volume</t>
  </si>
  <si>
    <t xml:space="preserve">Low/istagnating</t>
  </si>
  <si>
    <t xml:space="preserve">Export revenue share, from annual report segment notes if disclosed, or Chamber of Commerce export data</t>
  </si>
  <si>
    <t xml:space="preserve">[NEED] Stagnant international sales despite an otherwise viable product is a classic unrealized-opportunity signal, and a strong one specifically for GG's German-Italian bridge extension.</t>
  </si>
  <si>
    <t xml:space="preserve">Where segment notes are not disclosed, a rough proxy is whether the company website exists in more than one language.</t>
  </si>
  <si>
    <t xml:space="preserve">Annual report segment notes, IHK (Chamber of Commerce) export statistics, Germany Trade &amp; Invest data</t>
  </si>
  <si>
    <t xml:space="preserve">Years of international activity</t>
  </si>
  <si>
    <t xml:space="preserve">Few</t>
  </si>
  <si>
    <t xml:space="preserve">Year of first recorded export activity or first foreign subsidiary/branch registration</t>
  </si>
  <si>
    <t xml:space="preserve">[NEED] Limited international experience means the company likely lacks internal playbooks for cross-border expansion, a NEED signal, but it also flags lower READINESS to execute a cross-border pilot without hands-on support.</t>
  </si>
  <si>
    <t xml:space="preserve">Treat as a NEED signal on the product/market axis, and a readiness caveat on execution capacity; don't double-count it as purely positive.</t>
  </si>
  <si>
    <t xml:space="preserve">Handelsregister foreign branch filings, company 'our history' page, trade press</t>
  </si>
  <si>
    <t xml:space="preserve">Product demand</t>
  </si>
  <si>
    <t xml:space="preserve">Elastic</t>
  </si>
  <si>
    <t xml:space="preserve">Price elasticity inferred from category (discretionary vs. staple good) and any available sales-price correlation data</t>
  </si>
  <si>
    <t xml:space="preserve">[READINESS] As already noted in the VIENNA source notes, companies with elastic demand have a stronger built-in incentive to keep customers happy, which translates into higher motivation to adopt a pilot that improves the customer experience.</t>
  </si>
  <si>
    <t xml:space="preserve">A motivation proxy, not a capability one; still requires the other readiness variables to be present.</t>
  </si>
  <si>
    <t xml:space="preserve">Industry classification/category norms, review-aggregator sentiment (Google/Trustpilot), press coverage of pricing behavior</t>
  </si>
  <si>
    <t xml:space="preserve">Product differentiation</t>
  </si>
  <si>
    <t xml:space="preserve">Low / commoditized</t>
  </si>
  <si>
    <t xml:space="preserve">Number of comparable competing products at similar price points, from marketplace listings or industry reports</t>
  </si>
  <si>
    <t xml:space="preserve">[NEED] A commoditized, undifferentiated product is under constant margin pressure and has the clearest need for an innovation-driven differentiation strategy.</t>
  </si>
  <si>
    <t xml:space="preserve">Best assessed together with Innovativeness of Product and Quality of Product rather than in isolation.</t>
  </si>
  <si>
    <t xml:space="preserve">Marketplace/competitor listings, industry trade reports, product catalogs</t>
  </si>
  <si>
    <t xml:space="preserve">Product portfolio diversity</t>
  </si>
  <si>
    <t xml:space="preserve">Low / narrow</t>
  </si>
  <si>
    <t xml:space="preserve">Number of distinct product lines or SKUs disclosed on the company website/catalog</t>
  </si>
  <si>
    <t xml:space="preserve">[NEED] A narrow product portfolio concentrates revenue risk in a small number of lines, strengthening the case for innovation-driven diversification.</t>
  </si>
  <si>
    <t xml:space="preserve">A very narrow portfolio in a niche B2B category is not automatically a red flag, check whether the niche itself is stable or shrinking before scoring this as NEED.</t>
  </si>
  <si>
    <t xml:space="preserve">Company catalog/website, industry association member directories</t>
  </si>
  <si>
    <t xml:space="preserve">Rarity of raw materials</t>
  </si>
  <si>
    <t xml:space="preserve">Number of alternative suppliers available for the primary input, from procurement/industry reports</t>
  </si>
  <si>
    <t xml:space="preserve">[NEED] Dependence on a scarce input is a direct supply-risk pressure point that process or material-substitution innovation can address.</t>
  </si>
  <si>
    <t xml:space="preserve">Applies mainly to manufacturing and materials-intensive sectors; treat as not applicable for services businesses.</t>
  </si>
  <si>
    <t xml:space="preserve">Industry/commodity reports, annual report risk disclosures, procurement trade press</t>
  </si>
  <si>
    <t xml:space="preserve">Cost of raw materials</t>
  </si>
  <si>
    <t xml:space="preserve">Input cost as % of COGS, from annual report notes if disclosed, or industry benchmark</t>
  </si>
  <si>
    <t xml:space="preserve">[NEED] Elevated material costs squeeze margin directly and create urgency for efficiency or substitution innovation.</t>
  </si>
  <si>
    <t xml:space="preserve">Same sector-benchmark caveat as Materials Cost below.</t>
  </si>
  <si>
    <t xml:space="preserve">Bundesanzeiger annual filings, industry cost benchmark reports</t>
  </si>
  <si>
    <t xml:space="preserve">Innovativeness of product</t>
  </si>
  <si>
    <t xml:space="preserve">Low / mature, largely unchanged</t>
  </si>
  <si>
    <t xml:space="preserve">Time since last meaningful product update, from product catalog version history or press mentions</t>
  </si>
  <si>
    <t xml:space="preserve">[NEED] A product line that hasn't meaningfully changed in years is the textbook target for an innovation pilot.</t>
  </si>
  <si>
    <t xml:space="preserve">Best corroborated with Product Age and Patents, a single missing update is not conclusive on its own.</t>
  </si>
  <si>
    <t xml:space="preserve">Product catalogs (historical versions via Wayback Machine), press releases, trade fair exhibitor archives</t>
  </si>
  <si>
    <t xml:space="preserve">Quality of product</t>
  </si>
  <si>
    <t xml:space="preserve">Declining / rising complaints</t>
  </si>
  <si>
    <t xml:space="preserve">Review sentiment trend over time on Google/Trustpilot/industry-specific review platforms</t>
  </si>
  <si>
    <t xml:space="preserve">[NEED] A declining quality trend visible in customer reviews is a direct, externally verifiable pain point a pilot could target.</t>
  </si>
  <si>
    <t xml:space="preserve">If review volume is too low to be reliable (typical for B2B manufacturers), fall back on warranty claim rates or complaint data gathered at first contact instead.</t>
  </si>
  <si>
    <t xml:space="preserve">Google Reviews, Trustpilot, industry review platforms, first-contact interview for B2B companies with no public reviews</t>
  </si>
  <si>
    <t xml:space="preserve">Type of product</t>
  </si>
  <si>
    <t xml:space="preserve">Physical / manufactured good (example value, see comment)</t>
  </si>
  <si>
    <t xml:space="preserve">Product category classification (physical good, service, hybrid, B2B component, B2C finished good)</t>
  </si>
  <si>
    <t xml:space="preserve">[CONTEXT] This variable does not behave like the others: it is a segmentation filter for matching pilot type to product type (a physical-goods manufacturer needs a different pilot design than a services business), not a need or readiness score.</t>
  </si>
  <si>
    <t xml:space="preserve">Flagging structurally: scoring this 'high/low' the way the rest of the table does would not be meaningful. Consider moving it into a separate classification tag rather than the scored table.</t>
  </si>
  <si>
    <t xml:space="preserve">Company website, product catalog</t>
  </si>
  <si>
    <t xml:space="preserve">Product age</t>
  </si>
  <si>
    <t xml:space="preserve">Old / long-standing core line</t>
  </si>
  <si>
    <t xml:space="preserve">Year of original product launch, from company history page or trade press archives</t>
  </si>
  <si>
    <t xml:space="preserve">[NEED] An old core product line still generating the bulk of revenue is an obsolescence risk and a clear need signal, especially paired with the Innovativeness of Product and Quality of Product rows.</t>
  </si>
  <si>
    <t xml:space="preserve">Overlaps with Innovativeness of Product; consider merging the two if scoring redundancy becomes an issue at implementation.</t>
  </si>
  <si>
    <t xml:space="preserve">Company 'our history' page, trade press archives</t>
  </si>
  <si>
    <t xml:space="preserve">Difficulty of logistics</t>
  </si>
  <si>
    <t xml:space="preserve">High / complex, multi-step</t>
  </si>
  <si>
    <t xml:space="preserve">Number of distribution intermediaries or handling steps between production and end customer, from supply chain disclosures or first-contact interview</t>
  </si>
  <si>
    <t xml:space="preserve">[NEED] Complex, multi-step logistics is a concrete operational pain point that logistics-tech or route-optimization pilots can directly address.</t>
  </si>
  <si>
    <t xml:space="preserve">Mostly relevant to companies with physical distribution; treat as not applicable for pure services or software.</t>
  </si>
  <si>
    <t xml:space="preserve">Annual report supply chain notes, first-contact interview, trade press on sector logistics norms</t>
  </si>
  <si>
    <t xml:space="preserve">EBIT</t>
  </si>
  <si>
    <t xml:space="preserve">Decreasing/Stagnating</t>
  </si>
  <si>
    <t xml:space="preserve">EBIT trend over the past 3 fiscal years, from Bundesanzeiger filings</t>
  </si>
  <si>
    <t xml:space="preserve">[NEED] Declining operating profit is the clearest top-level financial pressure signal.</t>
  </si>
  <si>
    <t xml:space="preserve">A company under enough financial pressure to show consistently falling EBIT may also lack the discretionary budget to fund even a low-cost pilot; treat a severe or multi-year decline as a distress flag rather than a pure opportunity signal.</t>
  </si>
  <si>
    <t xml:space="preserve">Bundesanzeiger annual filings</t>
  </si>
  <si>
    <t xml:space="preserve">Gross Margin</t>
  </si>
  <si>
    <t xml:space="preserve">Gross margin trend over the past 3 fiscal years, from Bundesanzeiger filings</t>
  </si>
  <si>
    <t xml:space="preserve">[NEED] Margin compression signals unresolved cost or pricing pressure that a structured pilot can target.</t>
  </si>
  <si>
    <t xml:space="preserve">Compare against sector benchmarks rather than an absolute threshold, margin norms vary widely by industry.</t>
  </si>
  <si>
    <t xml:space="preserve">Revenues</t>
  </si>
  <si>
    <t xml:space="preserve">Revenue trend over the past 3 fiscal years, from Bundesanzeiger filings</t>
  </si>
  <si>
    <t xml:space="preserve">[NEED] Flat or declining top line is a direct growth-pressure signal.</t>
  </si>
  <si>
    <t xml:space="preserve">Check whether stagnation is company-specific or an entire-sector pattern (e.g. a shrinking category) before treating it as an internal NEED signal.</t>
  </si>
  <si>
    <t xml:space="preserve">Interest Coverage Ratio</t>
  </si>
  <si>
    <t xml:space="preserve">EBIT ÷ interest expense, computed from Bundesanzeiger filings</t>
  </si>
  <si>
    <t xml:space="preserve">[NEED] A weakening ability to cover debt service signals financial strain.</t>
  </si>
  <si>
    <t xml:space="preserve">Same distress caveat as the EBIT row: a very low ratio indicates distress severe enough to crowd out discretionary pilot budget, don't read the trend alone without checking the absolute level.</t>
  </si>
  <si>
    <t xml:space="preserve">Bundesanzeiger annual filings (EBIT and interest expense lines)</t>
  </si>
  <si>
    <t xml:space="preserve">Materials Cost</t>
  </si>
  <si>
    <t xml:space="preserve">High/Increasing</t>
  </si>
  <si>
    <t xml:space="preserve">Materials cost as % of revenue, trend over 3 years, from Bundesanzeiger filings</t>
  </si>
  <si>
    <t xml:space="preserve">[NEED] Rising input costs squeeze margin and motivate sourcing or process innovation.</t>
  </si>
  <si>
    <t xml:space="preserve">Sensitive to commodity price cycles outside the company's control, corroborate with Cost of Raw Materials before treating as a company-specific signal.</t>
  </si>
  <si>
    <t xml:space="preserve">Labour Cost</t>
  </si>
  <si>
    <t xml:space="preserve">Personnel cost as % of revenue, trend over 3 years</t>
  </si>
  <si>
    <t xml:space="preserve">[NEED] Rising labor cost share increases the appeal of automation or productivity-focused pilots.</t>
  </si>
  <si>
    <t xml:space="preserve">Rising labor cost share can also simply reflect a tight regional labor market rather than a company-specific issue, check against Bundesagentur für Arbeit regional wage data.</t>
  </si>
  <si>
    <t xml:space="preserve">Logistics Costs</t>
  </si>
  <si>
    <t xml:space="preserve">Freight/distribution cost line as % of revenue if disclosed, else industry benchmark</t>
  </si>
  <si>
    <t xml:space="preserve">[NEED] Rising logistics costs motivate route, warehousing, or fulfillment innovation.</t>
  </si>
  <si>
    <t xml:space="preserve">Rarely broken out separately in small-company filings; industry benchmark may be the only available proxy.</t>
  </si>
  <si>
    <t xml:space="preserve">Bundesanzeiger notes where disclosed, industry logistics cost benchmarks</t>
  </si>
  <si>
    <t xml:space="preserve">Energy Costs</t>
  </si>
  <si>
    <t xml:space="preserve">Energy cost line as % of revenue if disclosed, else sector energy-intensity benchmark</t>
  </si>
  <si>
    <t xml:space="preserve">[NEED] Rising energy costs are an especially strong, currently topical pressure point in the German Mittelstand post-2022 energy price shock, motivating efficiency and energy-transition pilots.</t>
  </si>
  <si>
    <t xml:space="preserve">Especially relevant for energy-intensive manufacturing; less diagnostic for services businesses.</t>
  </si>
  <si>
    <t xml:space="preserve">Bundesanzeiger notes where disclosed, sector energy intensity benchmarks, press coverage of energy cost impact by sector</t>
  </si>
  <si>
    <t xml:space="preserve">COGS</t>
  </si>
  <si>
    <t xml:space="preserve">COGS as % of revenue, trend over 3 years</t>
  </si>
  <si>
    <t xml:space="preserve">[NEED] A composite of the cost-pressure rows above; rising COGS share is the aggregate signal.</t>
  </si>
  <si>
    <t xml:space="preserve">Largely a rollup of Materials/Labour/Logistics/Energy above; decide whether a scoring model needs both the components and this aggregate, or just one.</t>
  </si>
  <si>
    <t xml:space="preserve">Service Costs</t>
  </si>
  <si>
    <t xml:space="preserve">Purchased services cost line as % of revenue, from Bundesanzeiger notes</t>
  </si>
  <si>
    <t xml:space="preserve">[NEED] Rising third-party service spend can indicate the company is already outsourcing functions it lacks in-house capability for, a related but distinct NEED signal from raw cost pressure.</t>
  </si>
  <si>
    <t xml:space="preserve">Distinguish from Labour Cost: rising service costs point to external outsourcing dependency, not internal headcount cost.</t>
  </si>
  <si>
    <t xml:space="preserve">R&amp;D Expenses</t>
  </si>
  <si>
    <t xml:space="preserve">Low or Zero</t>
  </si>
  <si>
    <t xml:space="preserve">R&amp;D/development cost line if capitalized or disclosed, else patent filing activity as proxy</t>
  </si>
  <si>
    <t xml:space="preserve">[READINESS-GAP / GG-FIT] Low or zero internal R&amp;D spend does not necessarily mean the company perceives no need, it usually means there is no internal alternative to an external pilot. This is less a need signal and more a fit signal for why GG rather than in-house R&amp;D.</t>
  </si>
  <si>
    <t xml:space="preserve">Don't read as low ambition, read as low internal capability, which strengthens rather than weakens GG's pitch.</t>
  </si>
  <si>
    <t xml:space="preserve">Bundesanzeiger filings (if R&amp;D costs are broken out), DPMA patent filing history as proxy</t>
  </si>
  <si>
    <t xml:space="preserve">Patents</t>
  </si>
  <si>
    <t xml:space="preserve">Patent filing count and recency, from DPMA (German Patent and Trademark Office) or EPO Espacenet</t>
  </si>
  <si>
    <t xml:space="preserve">[READINESS-GAP / GG-FIT] Same logic as R&amp;D Expenses: limited patent activity signals the company hasn't pursued the traditional in-house innovation route, making an external, pilot-based model more relevant rather than less.</t>
  </si>
  <si>
    <t xml:space="preserve">Absence of patents is normal and uninformative in many services or trade-oriented Mittelstand sectors; weight this variable down outside of manufacturing/technical sectors.</t>
  </si>
  <si>
    <t xml:space="preserve">DPMA register, EPO Espacenet</t>
  </si>
  <si>
    <t xml:space="preserve">Trademarks</t>
  </si>
  <si>
    <t xml:space="preserve">Increasing</t>
  </si>
  <si>
    <t xml:space="preserve">Number of new trademark filings in the past 2-3 years, from the DPMA register</t>
  </si>
  <si>
    <t xml:space="preserve">[READINESS] Active trademark filing suggests the company is bringing new products, sub-brands, or services to market right now, a positive, verifiable signal of present-tense openness rather than stated intent.</t>
  </si>
  <si>
    <t xml:space="preserve">A useful complement to the low-patent signal above: together they suggest a company innovating at the brand/go-to-market level but not the technical/product level, exactly where GG-brokered pilots could add the most value.</t>
  </si>
  <si>
    <t xml:space="preserve">DPMA trademark register</t>
  </si>
  <si>
    <t xml:space="preserve">Participations in subsidiaries</t>
  </si>
  <si>
    <t xml:space="preserve">Number of registered subsidiary/shareholding interests, from Handelsregister/Bundesanzeiger consolidated notes</t>
  </si>
  <si>
    <t xml:space="preserve">[READINESS] A simple corporate structure with few or no subsidiaries means less internal complexity and bureaucracy to navigate before a pilot decision can be made.</t>
  </si>
  <si>
    <t xml:space="preserve">A holding structure with several subsidiaries is common for tax or succession-planning reasons unrelated to complexity; verify at first contact before reading it negatively.</t>
  </si>
  <si>
    <t xml:space="preserve">Handelsregister, Bundesanzeiger consolidated financial statement notes</t>
  </si>
  <si>
    <t xml:space="preserve">CapEx</t>
  </si>
  <si>
    <t xml:space="preserve">CapEx as % of revenue, trend over 3 years, from Bundesanzeiger filings</t>
  </si>
  <si>
    <t xml:space="preserve">[NEED] Persistently low capital investment signals underinvestment in physical or technological capacity, a stagnation risk.</t>
  </si>
  <si>
    <t xml:space="preserve">Low CapEx can also reflect a deliberately conservative, cash-preserving management style that may extend to reluctance in funding a pilot too; verify management's stated investment appetite at first contact rather than assuming low CapEx equals high appetite for a pilot.</t>
  </si>
  <si>
    <t xml:space="preserve">Total Assets</t>
  </si>
  <si>
    <t xml:space="preserve">Medium</t>
  </si>
  <si>
    <t xml:space="preserve">Total assets from balance sheet, Bundesanzeiger</t>
  </si>
  <si>
    <t xml:space="preserve">[READINESS] A medium asset base signals enough absorptive infrastructure to actually host and integrate a pilot's output, too small and there's nothing to attach the innovation to, too large and bureaucracy slows everything down.</t>
  </si>
  <si>
    <t xml:space="preserve">Should have some absorbtive infrastructure</t>
  </si>
  <si>
    <t xml:space="preserve">Cash</t>
  </si>
  <si>
    <t xml:space="preserve">Low/Decreasing</t>
  </si>
  <si>
    <t xml:space="preserve">Cash and cash equivalents from balance sheet, Bundesanzeiger, trend over 3 years</t>
  </si>
  <si>
    <t xml:space="preserve">[READINESS - NEGATIVE] Unlike most 'Low/Decreasing' rows above, this one is a readiness constraint rather than a need signal: the VIENNA source notes already state 'High cash → readiness for internal R&amp;D', so low or falling cash is a warning that the company may lack the discretionary budget to fund even a low-cost pilot, regardless of how much it needs to innovate.</t>
  </si>
  <si>
    <t xml:space="preserve">Treat as a screening flag that can downgrade an otherwise promising NEED-heavy profile, not as an independent opportunity signal.</t>
  </si>
  <si>
    <t xml:space="preserve">Debt</t>
  </si>
  <si>
    <t xml:space="preserve">Total debt from balance sheet, trend over 3 years</t>
  </si>
  <si>
    <t xml:space="preserve">[NEED, readiness caveat] Rising debt signals financial strain that can motivate efficiency-seeking innovation, but high leverage often comes with covenant restrictions on discretionary spend, lowering practical readiness to commit to a pilot.</t>
  </si>
  <si>
    <t xml:space="preserve">Cross-check against Leverage and Interest Coverage Ratio before treating high debt as a pure opportunity signal.</t>
  </si>
  <si>
    <t xml:space="preserve">Leverage</t>
  </si>
  <si>
    <t xml:space="preserve">Debt/EBITDA or Debt/Equity ratio, computed from Bundesanzeiger filings</t>
  </si>
  <si>
    <t xml:space="preserve">[NEED, readiness caveat] Same reading as Debt: high leverage indicates financial pressure but also potential capital constraints on funding a pilot.</t>
  </si>
  <si>
    <t xml:space="preserve">Always interpret alongside sector-typical leverage norms, Mittelstand companies commonly run higher leverage than public peers as a matter of course.</t>
  </si>
  <si>
    <t xml:space="preserve">Private Funding</t>
  </si>
  <si>
    <t xml:space="preserve">Non-bank financing raised (equity injections, shareholder loans, private credit), from Bundesanzeiger capital notes or press releases</t>
  </si>
  <si>
    <t xml:space="preserve">[READINESS] Distinct from the ambiguous 'reliance on private funding' framing in the VIENNA source notes: an actively increasing private-funding trend specifically signals a company already comfortable raising and deploying capital outside traditional bank channels, a positive proxy for tolerance of the kind of hard-to-quantify risk a pilot represents.</t>
  </si>
  <si>
    <t xml:space="preserve">Banks often do not give loans for innovation because it is not easily quantifiable</t>
  </si>
  <si>
    <t xml:space="preserve">Bundesanzeiger capital increase filings, press releases on funding rounds, Handelsregister capital change filings</t>
  </si>
  <si>
    <t xml:space="preserve">Government contributions</t>
  </si>
  <si>
    <t xml:space="preserve">Public grant or subsidy receipt in the past 2 years, from Fördermitteldatenbank or the EU state aid transparency register</t>
  </si>
  <si>
    <t xml:space="preserve">[READINESS] Recently receiving public innovation or transformation funding indicates the company has already cleared a formal application and screening process for external support, evidence of both intent and bureaucratic capacity to engage with an outside program like GG's.</t>
  </si>
  <si>
    <t xml:space="preserve">Recency matters more than amount for this variable, a small but recent grant is a stronger signal than a large one several years old.</t>
  </si>
  <si>
    <t xml:space="preserve">Fördermitteldatenbank (German public funding database), EU State Aid Transparency register, press releases</t>
  </si>
  <si>
    <t xml:space="preserve">Digital maturity of core website</t>
  </si>
  <si>
    <t xml:space="preserve">Low / outdated</t>
  </si>
  <si>
    <t xml:space="preserve">CMS platform, mobile responsiveness, and last major redesign date</t>
  </si>
  <si>
    <t xml:space="preserve">[NEED] An outdated, non-responsive website is one of the cheapest, most externally verifiable proxies for broader digital neglect, and a common first pilot category.</t>
  </si>
  <si>
    <t xml:space="preserve">Wayback Machine coverage can be patchy for smaller company sites, treat 'no snapshot found' as inconclusive rather than as evidence of a very old site.</t>
  </si>
  <si>
    <t xml:space="preserve">BuiltWith, Wayback Machine snapshot comparison, direct site visit</t>
  </si>
  <si>
    <t xml:space="preserve">LinkedIn company page activity</t>
  </si>
  <si>
    <t xml:space="preserve">Low / inactive</t>
  </si>
  <si>
    <t xml:space="preserve">Posting frequency and follower growth over the past 12 months</t>
  </si>
  <si>
    <t xml:space="preserve">[NEED] Minimal external digital communication activity signals a broader gap in market-facing digital practice, a soft but easily observed pre-contact proxy.</t>
  </si>
  <si>
    <t xml:space="preserve">Weight lower than the balance-sheet-based NEED signals, since it reflects marketing habits more than core operations.</t>
  </si>
  <si>
    <t xml:space="preserve">LinkedIn company page</t>
  </si>
  <si>
    <t xml:space="preserve">Job postings for digital/technical roles</t>
  </si>
  <si>
    <t xml:space="preserve">Count of open roles mentioning digital, data, automation, or innovation in the title/description over the past 12 months</t>
  </si>
  <si>
    <t xml:space="preserve">[READINESS] Actively hiring for digital or innovation-adjacent roles is a strong forward-looking signal that the company is building internal capacity to absorb external pilot outcomes.</t>
  </si>
  <si>
    <t xml:space="preserve">Distinguish genuine digital/innovation hires from generic IT-support postings, only the former counts as a strong readiness signal.</t>
  </si>
  <si>
    <t xml:space="preserve">Stepstone, Indeed, company careers page</t>
  </si>
  <si>
    <t xml:space="preserve">Employer review sentiment (Kununu/Glassdoor)</t>
  </si>
  <si>
    <t xml:space="preserve">Average rating and recent review themes on Kununu or Glassdoor</t>
  </si>
  <si>
    <t xml:space="preserve">[READINESS, caveat] Persistently poor internal culture reviews can undermine execution even when leadership is genuinely open, since a pilot ultimately depends on staff engagement to succeed.</t>
  </si>
  <si>
    <t xml:space="preserve">Use as a downgrade flag rather than a standalone positive/negative score.</t>
  </si>
  <si>
    <t xml:space="preserve">Kununu, Glassdoor</t>
  </si>
  <si>
    <t xml:space="preserve">Family ownership share</t>
  </si>
  <si>
    <t xml:space="preserve">High (fully family-owned)</t>
  </si>
  <si>
    <t xml:space="preserve">% of equity held by the founding family, from Handelsregister shareholder filings</t>
  </si>
  <si>
    <t xml:space="preserve">[CONTEXT / MODERATOR] Family ownership alone doesn't predict openness either way, its effect depends entirely on where the company sits on the New Generation of Management variable: mid-succession is a strong READINESS signal, an entrenched second generation is often the opposite.</t>
  </si>
  <si>
    <t xml:space="preserve">Always read jointly with the succession row rather than scoring it independently.</t>
  </si>
  <si>
    <t xml:space="preserve">Handelsregister shareholder register, Bundesanzeiger</t>
  </si>
  <si>
    <t xml:space="preserve">Independent (non-family) board members</t>
  </si>
  <si>
    <t xml:space="preserve">Present / increasing</t>
  </si>
  <si>
    <t xml:space="preserve">Number of non-family supervisory or advisory board members, from Handelsregister/company website</t>
  </si>
  <si>
    <t xml:space="preserve">[READINESS] External governance input tends to introduce outside perspectives and professionalized decision processes, both of which lower resistance to an unfamiliar external proposal.</t>
  </si>
  <si>
    <t xml:space="preserve">Confirm the board member is genuinely independent (not a family friend or retired employee) rather than counting on title alone.</t>
  </si>
  <si>
    <t xml:space="preserve">Handelsregister, company website governance page</t>
  </si>
  <si>
    <t xml:space="preserve">ESG / sustainability reporting</t>
  </si>
  <si>
    <t xml:space="preserve">Recently started</t>
  </si>
  <si>
    <t xml:space="preserve">Presence and publication date of the first sustainability or ESG report</t>
  </si>
  <si>
    <t xml:space="preserve">[READINESS] Voluntarily adopting a new disclosure framework before it's mandatory signals a broader institutional openness to adopting new frameworks in general, including an innovation pilot.</t>
  </si>
  <si>
    <t xml:space="preserve">Note that CSRD is making this mandatory for a growing share of Mittelstand companies, so 'recently started' will become a weaker differentiator over the next few years, revisit this variable's threshold periodically.</t>
  </si>
  <si>
    <t xml:space="preserve">Company website, Bundesanzeiger (where CSRD-mandated), press releases</t>
  </si>
  <si>
    <t xml:space="preserve">Trade fair / industry association participation</t>
  </si>
  <si>
    <t xml:space="preserve">Active / frequent</t>
  </si>
  <si>
    <t xml:space="preserve">Exhibitor records at relevant trade fairs, membership listing in sector associations</t>
  </si>
  <si>
    <t xml:space="preserve">[READINESS] Regular external engagement through trade fairs and associations indicates a company that already invests time scanning the outside world for new ideas.</t>
  </si>
  <si>
    <t xml:space="preserve">Low-cost to check and a good early-stage filter alongside Online Market Presence.</t>
  </si>
  <si>
    <t xml:space="preserve">Trade fair exhibitor directories, industry association member lists</t>
  </si>
  <si>
    <t xml:space="preserve">University / research institute partnership</t>
  </si>
  <si>
    <t xml:space="preserve">Existing / recent</t>
  </si>
  <si>
    <t xml:space="preserve">Named partnerships or funded research collaborations with universities or Fraunhofer-type institutes</t>
  </si>
  <si>
    <t xml:space="preserve">[READINESS] The strongest possible precedent variable together with External Collaboration, direct proof the company has already navigated a structured external collaboration once.</t>
  </si>
  <si>
    <t xml:space="preserve">Effectively a specific sub-case of External Collaboration; consider merging if a scoring model would treat them identically.</t>
  </si>
  <si>
    <t xml:space="preserve">University press releases, Fraunhofer project databases, company website</t>
  </si>
  <si>
    <t xml:space="preserve">ERP / core systems age</t>
  </si>
  <si>
    <t xml:space="preserve">Legacy (10+ years since last major upgrade)</t>
  </si>
  <si>
    <t xml:space="preserve">System vendor and last major upgrade date, inferred from job postings mentioning specific ERP versions or first-contact disclosure</t>
  </si>
  <si>
    <t xml:space="preserve">[NEED] Old core systems constrain data availability for scoring future pilots too, so this variable doubles as an opportunity signal and a data-quality warning for your own pipeline.</t>
  </si>
  <si>
    <t xml:space="preserve">Directly relevant to your own precondition of confirming Midcap data-collection capability before a pilot starts; treat a legacy ERP as a flag to scope data readiness explicitly at the Diagnosi stage. How well the systems talk to each other is scored separately in row 72 (System integration across core functions), so this row now measures age only.</t>
  </si>
  <si>
    <t xml:space="preserve">Job postings mentioning ERP platform/version, first-contact interview</t>
  </si>
  <si>
    <t xml:space="preserve">Press mentions of new product/service launches</t>
  </si>
  <si>
    <t xml:space="preserve">None in past 2 years</t>
  </si>
  <si>
    <t xml:space="preserve">News search for company name plus 'launch', 'new product', 'Neuheit' over the trailing 24 months</t>
  </si>
  <si>
    <t xml:space="preserve">[NEED] Absence of any recent launch coverage is a simple, externally verifiable proxy for innovation output stagnation.</t>
  </si>
  <si>
    <t xml:space="preserve">A negative result here should be cross-checked against Trademarks and R&amp;D Expenses before concluding stagnation, a company can still be innovating quietly without press coverage.</t>
  </si>
  <si>
    <t xml:space="preserve">News search (Google News), trade press archives</t>
  </si>
  <si>
    <t xml:space="preserve">Supply chain digitization</t>
  </si>
  <si>
    <t xml:space="preserve">Low / manual</t>
  </si>
  <si>
    <t xml:space="preserve">Presence of EDI, real-time tracking, or supplier portal technology, inferred from job postings or first-contact interview</t>
  </si>
  <si>
    <t xml:space="preserve">[NEED] Manual, paper-based supply chain processes are a concrete operational pain point directly addressable by a logistics or process-innovation pilot.</t>
  </si>
  <si>
    <t xml:space="preserve">Often only confirmable at first contact for smaller companies with no public supply-chain disclosure.</t>
  </si>
  <si>
    <t xml:space="preserve">Job postings, first-contact interview, sector benchmark reports</t>
  </si>
  <si>
    <t xml:space="preserve">Energy transition / sustainability CapEx</t>
  </si>
  <si>
    <t xml:space="preserve">Recent / increasing</t>
  </si>
  <si>
    <t xml:space="preserve">Disclosed spend on renewable energy, efficiency retrofits, or transition projects, from annual report or press releases</t>
  </si>
  <si>
    <t xml:space="preserve">[READINESS] Already committing capital to a transformation project, even a narrow one, is concrete evidence of present-tense change appetite, complementing the Energy Costs NEED signal with a matching READINESS signal.</t>
  </si>
  <si>
    <t xml:space="preserve">Pair with the Energy Costs row: high cost pressure plus active transition investment is a strong combined signal.</t>
  </si>
  <si>
    <t xml:space="preserve">Bundesanzeiger annual filings, press releases, Fördermitteldatenbank (energy transition grants)</t>
  </si>
  <si>
    <t xml:space="preserve">Prior open-innovation channel usage (idea competitions, accelerators, corporate venturing)</t>
  </si>
  <si>
    <t xml:space="preserve">None</t>
  </si>
  <si>
    <t xml:space="preserve">Any documented sponsorship or participation in innovation competitions, hackathons, or accelerator cohorts</t>
  </si>
  <si>
    <t xml:space="preserve">[READINESS BASELINE] Zero prior usage places a company at the DREAMER level at best in your own VIENNA classification, interested in principle but with no proven execution track record; existing usage moves it toward OPERATOR/ORCHESTRATOR.</t>
  </si>
  <si>
    <t xml:space="preserve">This variable is effectively a direct proxy for VIENNA level; consider using it as a primary input for that classification rather than as a standalone table row.</t>
  </si>
  <si>
    <t xml:space="preserve">Accelerator cohort announcements, hackathon sponsor lists, press releases</t>
  </si>
  <si>
    <t xml:space="preserve">Average tenure of senior management team</t>
  </si>
  <si>
    <t xml:space="preserve">Long (15+ years in current role)</t>
  </si>
  <si>
    <t xml:space="preserve">Years in current role for CEO/MD and direct reports, from LinkedIn/company bios</t>
  </si>
  <si>
    <t xml:space="preserve">[READINESS, NEGATIVE] Very long tenure in the same senior roles correlates with entrenched routines and a higher bar for accepting an unfamiliar external idea, the opposite reading from Management Age, so keep them as separate variables rather than assuming they move together.</t>
  </si>
  <si>
    <t xml:space="preserve">Where the CEO/MD changed recently (see New Generation of Management), score this variable for the rest of the leadership team rather than the top role alone.</t>
  </si>
  <si>
    <t xml:space="preserve">LinkedIn tenure history, company leadership page</t>
  </si>
  <si>
    <t xml:space="preserve">Presence of a named digital/innovation lead role</t>
  </si>
  <si>
    <t xml:space="preserve">Job title search for 'Head of Digital', 'Innovation Manager', 'Digitalisierungsbeauftragter' or similar on the company website/LinkedIn</t>
  </si>
  <si>
    <t xml:space="preserve">[READINESS, CRITICAL GATE] Maps directly to the 'Owner: does an internal responsible party for the pilot exist?' governance question already built into your own Business Flow diagram. Its absence strongly predicts that even an interested company will stall at the approval stage for lack of an internal champion.</t>
  </si>
  <si>
    <t xml:space="preserve">Treat as close to a gating variable rather than a graded one; absence should flag the account for extra qualification work before proposing a pilot.</t>
  </si>
  <si>
    <t xml:space="preserve">Company website, LinkedIn role search</t>
  </si>
  <si>
    <t xml:space="preserve">Depth of internal approval chain for new vendors/pilots</t>
  </si>
  <si>
    <t xml:space="preserve">High (multiple approval layers)</t>
  </si>
  <si>
    <t xml:space="preserve">Estimated from company size, org verticality, and first-contact disclosure of procurement process</t>
  </si>
  <si>
    <t xml:space="preserve">[READINESS, NEGATIVE] A long, multi-layer approval chain is the concrete mechanism behind the 'commitment gap: long, complex sale' pattern already named for SKEPTIC-level companies in VIENNA.</t>
  </si>
  <si>
    <t xml:space="preserve">Best confirmed directly at first contact rather than estimated purely from external data.</t>
  </si>
  <si>
    <t xml:space="preserve">First-contact interview, org size/verticality as a rough proxy</t>
  </si>
  <si>
    <t xml:space="preserve">Recent M&amp;A activity (acquired or acquirer)</t>
  </si>
  <si>
    <t xml:space="preserve">Recent (past 2 years)</t>
  </si>
  <si>
    <t xml:space="preserve">M&amp;A announcements from press releases or Handelsregister ownership change filings</t>
  </si>
  <si>
    <t xml:space="preserve">[CONTEXT / MODERATOR] Cuts both ways: recent M&amp;A can mean active, well-capitalized growth-seeking (a READINESS positive), or a company mid-integration and too distracted for a new pilot (a READINESS negative); don't score directionally without checking which case applies at first contact.</t>
  </si>
  <si>
    <t xml:space="preserve">Flag rather than score until clarified at first contact.</t>
  </si>
  <si>
    <t xml:space="preserve">Press releases, Handelsregister ownership change filings</t>
  </si>
  <si>
    <t xml:space="preserve">System integration across core functions (ERP, MES, CMMS, PLM, quality, finance)</t>
  </si>
  <si>
    <t xml:space="preserve">Siloed (manual reconciliation between systems)</t>
  </si>
  <si>
    <t xml:space="preserve">Degree to which planning, production, maintenance, quality and finance data sit in connected systems rather than in spreadsheets and re-keyed exports. Inferred from the number and mix of systems named in job postings, integration or interface roles, and first-contact disclosure.</t>
  </si>
  <si>
    <t xml:space="preserve">[NEED, readiness caveat] Siloed systems signal an unmet need for exactly the cross-functional visibility that project performance and governance tools provide. Fully manual reconciliation also predicts that pilot data will be slow and error-prone to collect, so it caps readiness.</t>
  </si>
  <si>
    <t xml:space="preserve">Derived from the DREAMY maturity model (De Carolis et al., 2025, IJPR), where integration and interoperability is the step that separates Defined from Integrated companies and a Digital Backbone is treated as a cross-cutting layer. It splits out of row 63, which was mixing two different things: how old a system is and how well it connects to the others. Read the two together but do not average them blindly, because an old but integrated system and a new but siloed one imply different pilots.</t>
  </si>
  <si>
    <t xml:space="preserve">Job postings naming several systems or integration roles (Stepstone, Indeed, InfoJobs, LinkedIn), company website IT or digital pages, first-contact questionnaire (primary data); DREAMY integration questions as a question bank</t>
  </si>
  <si>
    <t xml:space="preserve">Maintenance management digitization</t>
  </si>
  <si>
    <t xml:space="preserve">Reactive and undocumented (paper or spreadsheet logs, no CMMS)</t>
  </si>
  <si>
    <t xml:space="preserve">Whether maintenance is planned and tracked in a CMMS or asset management system versus run reactively. Proxied by job postings for maintenance planners or CMMS skills and by first-contact disclosure. Applies only to asset-heavy firms; mark N/A for pure engineering and EPC services.</t>
  </si>
  <si>
    <t xml:space="preserve">[NEED] Reactive maintenance signals avoidable downtime cost and a data gap that condition monitoring and predictive solutions address. Relevant mainly to machinery manufacturers, industrial services and automotive suppliers.</t>
  </si>
  <si>
    <t xml:space="preserve">Added from the DREAMY analysis. Maintenance is one of its five assessed areas (alongside Design and Engineering, Production, Quality and Logistics), and nothing in the original list covered it. Logistics is already partly covered by row 32. Absence of data is not a signal: where no postings or disclosure exist the value is Unknown, not Reactive.</t>
  </si>
  <si>
    <t xml:space="preserve">Job postings (CMMS, SAP PM, manutentore, maintenance planner), company website plant or service pages, first-contact questionnaire; ATECO code from the company register to confirm the firm is asset-heavy</t>
  </si>
  <si>
    <t xml:space="preserve">Quality process maturity</t>
  </si>
  <si>
    <t xml:space="preserve">No recognised certification where the sector norm requires one (or inspector-driven, undocumented quality)</t>
  </si>
  <si>
    <t xml:space="preserve">Management system certifications held (ISO 9001, IATF 16949 for automotive, AS9100 for aerospace, ISO 3834 or EN 15085 for welding and rail), their scope and how long they have been held.</t>
  </si>
  <si>
    <t xml:space="preserve">[BOTH] Absence of a certification that sector peers hold signals a quality process gap (NEED). A long held, multi-standard certification signals documented processes and an organisation able to define pilot metrics (READINESS). Always read against the sector norm, not in absolute terms.</t>
  </si>
  <si>
    <t xml:space="preserve">Complements row 29 (Quality of product), which measures the outcome through customer reviews. DREAMY separates product quality outcome from the maturity of the quality process, and reviews are mostly unavailable for B2B industrial firms, so certification is the more reliable proxy for this ICP. Certification is a floor, not a ceiling: a certified firm can still run paper checklists, so confirm depth at first contact.</t>
  </si>
  <si>
    <t xml:space="preserve">Accredia (Italian accreditation body) certified organisations data, subject to confirming bulk access; certification body registers (RINA, DNV, TUV, Bureau Veritas); company website quality page; first-contact questionnaire for depth</t>
  </si>
  <si>
    <t xml:space="preserve">Prior digital maturity self-assessment</t>
  </si>
  <si>
    <t xml:space="preserve">Completed, low to medium maturity (DREAMY levels 1 to 3)</t>
  </si>
  <si>
    <t xml:space="preserve">Whether the company has taken a structured digital maturity assessment (Test Your Industry 4.0 / DREAMY via a Digital Innovation Hub, or a comparable audit) and the level obtained.</t>
  </si>
  <si>
    <t xml:space="preserve">[READINESS] Having completed an assessment is a strong openness signal, because the company has already looked at its own gaps. A low to medium result in the relevant area is exactly the target profile of high openness with low or medium readiness.</t>
  </si>
  <si>
    <t xml:space="preserve">Very high value but low coverage: results are self reported, held by the Hubs, and usable only with consent, so treat it as a partnership or first-contact data point, not a desk research variable. Caveat: DREAMY benchmarks are per sector and built on the 250+ companies that applied, a likely self-selected sample, so a level is only comparable within its sector and may overstate the population.</t>
  </si>
  <si>
    <t xml:space="preserve">Digital Innovation Hub partnership or consent-based data sharing, testindustria4-0.com assessment (self reported), first-contact questionnaire</t>
  </si>
  <si>
    <t xml:space="preserve">Sheet1 row</t>
  </si>
  <si>
    <t xml:space="preserve">Axis tag (from Sheet1)</t>
  </si>
  <si>
    <t xml:space="preserve">Axis</t>
  </si>
  <si>
    <t xml:space="preserve">Polarity</t>
  </si>
  <si>
    <t xml:space="preserve">Role</t>
  </si>
  <si>
    <t xml:space="preserve">Acquisition mode</t>
  </si>
  <si>
    <t xml:space="preserve">Redundancy group (proposed)</t>
  </si>
  <si>
    <t xml:space="preserve">Weight on NEED axis</t>
  </si>
  <si>
    <t xml:space="preserve">Weight on READINESS axis</t>
  </si>
  <si>
    <t xml:space="preserve">Origin</t>
  </si>
  <si>
    <t xml:space="preserve">Scored</t>
  </si>
  <si>
    <t xml:space="preserve">Web or job board scrape</t>
  </si>
  <si>
    <t xml:space="preserve">MGMT_AGE_TENURE</t>
  </si>
  <si>
    <t xml:space="preserve">Original</t>
  </si>
  <si>
    <t xml:space="preserve">MGMT_DIVERSITY</t>
  </si>
  <si>
    <t xml:space="preserve">Registry or filing</t>
  </si>
  <si>
    <t xml:space="preserve">Manual desk research</t>
  </si>
  <si>
    <t xml:space="preserve">First contact only</t>
  </si>
  <si>
    <t xml:space="preserve">DIGITAL_FOOTPRINT</t>
  </si>
  <si>
    <t xml:space="preserve">STORE_NETWORK</t>
  </si>
  <si>
    <t xml:space="preserve">INTERNATIONAL</t>
  </si>
  <si>
    <t xml:space="preserve">QUALITY</t>
  </si>
  <si>
    <t xml:space="preserve">Moderator</t>
  </si>
  <si>
    <t xml:space="preserve">PROFITABILITY</t>
  </si>
  <si>
    <t xml:space="preserve">LEVERAGE_LIQUIDITY</t>
  </si>
  <si>
    <t xml:space="preserve">COST_STRUCTURE</t>
  </si>
  <si>
    <t xml:space="preserve">INNOVATION_INPUT</t>
  </si>
  <si>
    <t xml:space="preserve">EXTERNAL_FUNDING</t>
  </si>
  <si>
    <t xml:space="preserve">Added, round 1</t>
  </si>
  <si>
    <t xml:space="preserve">SYSTEMS_AND_DIGITAL_OPS</t>
  </si>
  <si>
    <t xml:space="preserve">Gate</t>
  </si>
  <si>
    <t xml:space="preserve">Added from DREAMY</t>
  </si>
  <si>
    <t xml:space="preserve">Weight checks (fill the yellow cells first)</t>
  </si>
  <si>
    <t xml:space="preserve">Sum of NEED weights (target 100%)</t>
  </si>
  <si>
    <t xml:space="preserve">Sum of READINESS weights (target 100%)</t>
  </si>
  <si>
    <t xml:space="preserve">Weights entered on the wrong axis (target 0)</t>
  </si>
  <si>
    <t xml:space="preserve">Weights entered on Gate or Moderator rows (target 0)</t>
  </si>
  <si>
    <t xml:space="preserve">Variables scored on NEED axis</t>
  </si>
  <si>
    <t xml:space="preserve">Variables scored on READINESS axis</t>
  </si>
  <si>
    <t xml:space="preserve">Legend</t>
  </si>
  <si>
    <t xml:space="preserve">Blue text: manual inputs (Role, Acquisition mode, Redundancy group, Origin). Black text: formulas pulled live from Sheet1.</t>
  </si>
  <si>
    <t xml:space="preserve">Yellow cells: weights, deliberately empty. They are to be decided in the weighting discussion, not by default.</t>
  </si>
  <si>
    <t xml:space="preserve">Variables with Axis BOTH carry a weight on each axis. Gate rows are pass or fail and Moderator rows adjust interpretation; neither is weighted.</t>
  </si>
  <si>
    <t xml:space="preserve">Redundancy groups are proposals to be tested with correlation analysis (for example CRITIC) once data exists.</t>
  </si>
  <si>
    <t xml:space="preserve">Role and Acquisition mode were assigned from the Indicator and Source text of each row. Revisit them if either text changes.</t>
  </si>
  <si>
    <t xml:space="preserve">#</t>
  </si>
  <si>
    <t xml:space="preserve">Action</t>
  </si>
  <si>
    <t xml:space="preserve">What changed</t>
  </si>
  <si>
    <t xml:space="preserve">Why (DREAMY link)</t>
  </si>
  <si>
    <t xml:space="preserve">Modified</t>
  </si>
  <si>
    <t xml:space="preserve">Status now measures age only; Indicator wording trimmed; Comment points to row 72.</t>
  </si>
  <si>
    <t xml:space="preserve">DREAMY separates system technology from system integration. One row was carrying both.</t>
  </si>
  <si>
    <t xml:space="preserve">Added</t>
  </si>
  <si>
    <t xml:space="preserve">System integration across core functions, tagged NEED with readiness caveat.</t>
  </si>
  <si>
    <t xml:space="preserve">Integration and interoperability is DREAMY level 4, with a Digital Backbone as a cross-cutting layer.</t>
  </si>
  <si>
    <t xml:space="preserve">Maintenance management digitization, tagged NEED, N/A for non asset-heavy firms.</t>
  </si>
  <si>
    <t xml:space="preserve">Maintenance is one of DREAMY's five areas and was entirely missing from the list.</t>
  </si>
  <si>
    <t xml:space="preserve">Quality process maturity, tagged BOTH, proxied by sector-relevant certifications.</t>
  </si>
  <si>
    <t xml:space="preserve">DREAMY scores Quality as a process area; row 29 only captures outcome via reviews, which B2B firms rarely have.</t>
  </si>
  <si>
    <t xml:space="preserve">Prior digital maturity self-assessment, tagged READINESS, first-contact or Hub data.</t>
  </si>
  <si>
    <t xml:space="preserve">DREAMY assessments are a direct openness signal and a baseline level; sector benchmark caveat noted in the Comment.</t>
  </si>
  <si>
    <t xml:space="preserve">Not changed</t>
  </si>
  <si>
    <t xml:space="preserve">Original text untouched. Row 74 complements it.</t>
  </si>
  <si>
    <t xml:space="preserve">See row 74.</t>
  </si>
  <si>
    <t xml:space="preserve">57, 68, 69, 70</t>
  </si>
  <si>
    <t xml:space="preserve">Axis tags</t>
  </si>
  <si>
    <t xml:space="preserve">Separator inside the tag changed from a spaced hyphen to a comma in rows added earlier.</t>
  </si>
  <si>
    <t xml:space="preserve">House style. Row 49 (original, user text) left as it was; the Scoring Schema reads both forms.</t>
  </si>
  <si>
    <t xml:space="preserve">All other</t>
  </si>
  <si>
    <t xml:space="preserve">All other cells</t>
  </si>
  <si>
    <t xml:space="preserve">Rows 2 to 62, 64 to 71 and all user-written text are as before.</t>
  </si>
  <si>
    <t xml:space="preserve">Open items</t>
  </si>
  <si>
    <t xml:space="preserve">Source column is written mostly for German registries (Bundesanzeiger, Handelsregister, DPMA). The project now runs on Italy and AIDA, so an Italian source mapping per row is still to be added.</t>
  </si>
  <si>
    <t xml:space="preserve">Most sector benchmarks implied by DREAMY come from Italian Hub assessments of self-selecting companies. Treat them as a prior to test, not a norm.</t>
  </si>
  <si>
    <t xml:space="preserve">Weights are intentionally empty on the Scoring Schema sheet pending the weighting discussion.</t>
  </si>
  <si>
    <t xml:space="preserve">Landing Bay specific project variables (backlog, work in progress, collection days, margin erosion on commessa) are not yet in the list.</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</si>
</sst>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6"/>
      <color theme="1"/>
      <name val="Calibri"/>
      <family val="2"/>
      <charset val="1"/>
    </font>
    <font>
      <b val="true"/>
      <sz val="16"/>
      <name val="Calibri"/>
      <family val="0"/>
      <charset val="1"/>
    </font>
    <font>
      <b val="true"/>
      <sz val="11"/>
      <color rgb="FFFFFFFF"/>
      <name val="Calibri"/>
      <family val="0"/>
      <charset val="1"/>
    </font>
    <font>
      <sz val="11"/>
      <name val="Calibri"/>
      <family val="0"/>
      <charset val="1"/>
    </font>
    <font>
      <sz val="11"/>
      <color rgb="FF0000FF"/>
      <name val="Calibri"/>
      <family val="0"/>
      <charset val="1"/>
    </font>
    <font>
      <b val="true"/>
      <sz val="11"/>
      <name val="Calibri"/>
      <family val="0"/>
      <charset val="1"/>
    </font>
  </fonts>
  <fills count="5">
    <fill>
      <patternFill patternType="none"/>
    </fill>
    <fill>
      <patternFill patternType="gray125"/>
    </fill>
    <fill>
      <patternFill patternType="solid">
        <fgColor theme="4" tint="0.5999"/>
        <bgColor rgb="FF99CCFF"/>
      </patternFill>
    </fill>
    <fill>
      <patternFill patternType="solid">
        <fgColor rgb="FF2E6B3F"/>
        <bgColor rgb="FF00808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6" fontId="0" fillId="4" borderId="0" xfId="0" applyFont="fals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2E6B3F"/>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true" showRowColHeaders="true" showZeros="true" rightToLeft="false" tabSelected="true" showOutlineSymbols="true" defaultGridColor="true" view="normal" topLeftCell="A43" colorId="64" zoomScale="100" zoomScaleNormal="100" zoomScalePageLayoutView="100" workbookViewId="0">
      <pane xSplit="0" ySplit="1" topLeftCell="A2" activePane="bottomLeft" state="frozen"/>
      <selection pane="topLeft" activeCell="A43" activeCellId="0" sqref="A43"/>
      <selection pane="bottomLeft" activeCell="A54" activeCellId="0" sqref="A54"/>
    </sheetView>
  </sheetViews>
  <sheetFormatPr defaultColWidth="8.6796875" defaultRowHeight="14.2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40"/>
    <col collapsed="false" customWidth="true" hidden="false" outlineLevel="0" max="4" min="4" style="0" width="60"/>
    <col collapsed="false" customWidth="true" hidden="false" outlineLevel="0" max="5" min="5" style="0" width="45"/>
    <col collapsed="false" customWidth="true" hidden="false" outlineLevel="0" max="6" min="6" style="1" width="40"/>
  </cols>
  <sheetData>
    <row r="1" customFormat="false" ht="21" hidden="false" customHeight="true" outlineLevel="0" collapsed="false">
      <c r="A1" s="2" t="s">
        <v>0</v>
      </c>
      <c r="B1" s="2" t="s">
        <v>1</v>
      </c>
      <c r="C1" s="2" t="s">
        <v>2</v>
      </c>
      <c r="D1" s="2" t="s">
        <v>3</v>
      </c>
      <c r="E1" s="2" t="s">
        <v>4</v>
      </c>
      <c r="F1" s="3" t="s">
        <v>5</v>
      </c>
    </row>
    <row r="2" customFormat="false" ht="54.75" hidden="false" customHeight="true" outlineLevel="0" collapsed="false">
      <c r="A2" s="4" t="s">
        <v>6</v>
      </c>
      <c r="B2" s="4" t="s">
        <v>7</v>
      </c>
      <c r="C2" s="4" t="s">
        <v>8</v>
      </c>
      <c r="D2" s="4" t="s">
        <v>9</v>
      </c>
      <c r="E2" s="4" t="s">
        <v>10</v>
      </c>
      <c r="F2" s="4" t="s">
        <v>11</v>
      </c>
    </row>
    <row r="3" customFormat="false" ht="41.25" hidden="false" customHeight="true" outlineLevel="0" collapsed="false">
      <c r="A3" s="4" t="s">
        <v>12</v>
      </c>
      <c r="B3" s="4" t="s">
        <v>13</v>
      </c>
      <c r="C3" s="4" t="s">
        <v>14</v>
      </c>
      <c r="D3" s="4" t="s">
        <v>15</v>
      </c>
      <c r="E3" s="4" t="s">
        <v>16</v>
      </c>
      <c r="F3" s="4" t="s">
        <v>17</v>
      </c>
    </row>
    <row r="4" customFormat="false" ht="41.25" hidden="false" customHeight="true" outlineLevel="0" collapsed="false">
      <c r="A4" s="4" t="s">
        <v>18</v>
      </c>
      <c r="B4" s="4" t="s">
        <v>13</v>
      </c>
      <c r="C4" s="4" t="s">
        <v>19</v>
      </c>
      <c r="D4" s="4" t="s">
        <v>20</v>
      </c>
      <c r="E4" s="4" t="s">
        <v>21</v>
      </c>
      <c r="F4" s="4" t="s">
        <v>22</v>
      </c>
    </row>
    <row r="5" customFormat="false" ht="41.25" hidden="false" customHeight="true" outlineLevel="0" collapsed="false">
      <c r="A5" s="4" t="s">
        <v>23</v>
      </c>
      <c r="B5" s="4" t="s">
        <v>13</v>
      </c>
      <c r="C5" s="4" t="s">
        <v>24</v>
      </c>
      <c r="D5" s="4" t="s">
        <v>25</v>
      </c>
      <c r="E5" s="4" t="s">
        <v>26</v>
      </c>
      <c r="F5" s="4" t="s">
        <v>27</v>
      </c>
    </row>
    <row r="6" customFormat="false" ht="41.25" hidden="false" customHeight="true" outlineLevel="0" collapsed="false">
      <c r="A6" s="4" t="s">
        <v>28</v>
      </c>
      <c r="B6" s="4" t="s">
        <v>13</v>
      </c>
      <c r="C6" s="4" t="s">
        <v>29</v>
      </c>
      <c r="D6" s="4" t="s">
        <v>30</v>
      </c>
      <c r="E6" s="4" t="s">
        <v>31</v>
      </c>
      <c r="F6" s="4" t="s">
        <v>32</v>
      </c>
    </row>
    <row r="7" customFormat="false" ht="41.25" hidden="false" customHeight="true" outlineLevel="0" collapsed="false">
      <c r="A7" s="4" t="s">
        <v>33</v>
      </c>
      <c r="B7" s="4" t="s">
        <v>13</v>
      </c>
      <c r="C7" s="4" t="s">
        <v>34</v>
      </c>
      <c r="D7" s="4" t="s">
        <v>35</v>
      </c>
      <c r="E7" s="4" t="s">
        <v>36</v>
      </c>
      <c r="F7" s="4" t="s">
        <v>37</v>
      </c>
    </row>
    <row r="8" customFormat="false" ht="68.25" hidden="false" customHeight="true" outlineLevel="0" collapsed="false">
      <c r="A8" s="4" t="s">
        <v>38</v>
      </c>
      <c r="B8" s="4" t="s">
        <v>39</v>
      </c>
      <c r="C8" s="4" t="s">
        <v>40</v>
      </c>
      <c r="D8" s="4" t="s">
        <v>41</v>
      </c>
      <c r="E8" s="4" t="s">
        <v>42</v>
      </c>
      <c r="F8" s="4" t="s">
        <v>43</v>
      </c>
    </row>
    <row r="9" customFormat="false" ht="41.25" hidden="false" customHeight="true" outlineLevel="0" collapsed="false">
      <c r="A9" s="4" t="s">
        <v>44</v>
      </c>
      <c r="B9" s="4" t="s">
        <v>13</v>
      </c>
      <c r="C9" s="4" t="s">
        <v>45</v>
      </c>
      <c r="D9" s="4" t="s">
        <v>46</v>
      </c>
      <c r="E9" s="4" t="s">
        <v>47</v>
      </c>
      <c r="F9" s="4" t="s">
        <v>48</v>
      </c>
    </row>
    <row r="10" customFormat="false" ht="68.25" hidden="false" customHeight="true" outlineLevel="0" collapsed="false">
      <c r="A10" s="4" t="s">
        <v>49</v>
      </c>
      <c r="B10" s="4" t="s">
        <v>50</v>
      </c>
      <c r="C10" s="4" t="s">
        <v>51</v>
      </c>
      <c r="D10" s="4" t="s">
        <v>52</v>
      </c>
      <c r="E10" s="4" t="s">
        <v>53</v>
      </c>
      <c r="F10" s="4" t="s">
        <v>54</v>
      </c>
    </row>
    <row r="11" customFormat="false" ht="54.75" hidden="false" customHeight="true" outlineLevel="0" collapsed="false">
      <c r="A11" s="4" t="s">
        <v>55</v>
      </c>
      <c r="B11" s="4" t="s">
        <v>13</v>
      </c>
      <c r="C11" s="4" t="s">
        <v>56</v>
      </c>
      <c r="D11" s="4" t="s">
        <v>57</v>
      </c>
      <c r="E11" s="4" t="s">
        <v>58</v>
      </c>
      <c r="F11" s="4" t="s">
        <v>59</v>
      </c>
    </row>
    <row r="12" customFormat="false" ht="41.25" hidden="false" customHeight="true" outlineLevel="0" collapsed="false">
      <c r="A12" s="4" t="s">
        <v>60</v>
      </c>
      <c r="B12" s="4" t="s">
        <v>7</v>
      </c>
      <c r="C12" s="4" t="s">
        <v>61</v>
      </c>
      <c r="D12" s="4" t="s">
        <v>62</v>
      </c>
      <c r="E12" s="4" t="s">
        <v>63</v>
      </c>
      <c r="F12" s="4" t="s">
        <v>64</v>
      </c>
    </row>
    <row r="13" customFormat="false" ht="68.25" hidden="false" customHeight="true" outlineLevel="0" collapsed="false">
      <c r="A13" s="4" t="s">
        <v>65</v>
      </c>
      <c r="B13" s="4" t="s">
        <v>7</v>
      </c>
      <c r="C13" s="4" t="s">
        <v>66</v>
      </c>
      <c r="D13" s="4" t="s">
        <v>67</v>
      </c>
      <c r="E13" s="4" t="s">
        <v>68</v>
      </c>
      <c r="F13" s="4" t="s">
        <v>69</v>
      </c>
    </row>
    <row r="14" customFormat="false" ht="54.75" hidden="false" customHeight="true" outlineLevel="0" collapsed="false">
      <c r="A14" s="4" t="s">
        <v>70</v>
      </c>
      <c r="B14" s="4" t="s">
        <v>71</v>
      </c>
      <c r="C14" s="4" t="s">
        <v>72</v>
      </c>
      <c r="D14" s="4" t="s">
        <v>73</v>
      </c>
      <c r="E14" s="4" t="s">
        <v>74</v>
      </c>
      <c r="F14" s="4" t="s">
        <v>75</v>
      </c>
    </row>
    <row r="15" customFormat="false" ht="41.25" hidden="false" customHeight="true" outlineLevel="0" collapsed="false">
      <c r="A15" s="4" t="s">
        <v>76</v>
      </c>
      <c r="B15" s="4" t="s">
        <v>77</v>
      </c>
      <c r="C15" s="4" t="s">
        <v>78</v>
      </c>
      <c r="D15" s="4" t="s">
        <v>79</v>
      </c>
      <c r="E15" s="4" t="s">
        <v>80</v>
      </c>
      <c r="F15" s="4" t="s">
        <v>81</v>
      </c>
    </row>
    <row r="16" customFormat="false" ht="41.25" hidden="false" customHeight="true" outlineLevel="0" collapsed="false">
      <c r="A16" s="4" t="s">
        <v>82</v>
      </c>
      <c r="B16" s="4" t="s">
        <v>77</v>
      </c>
      <c r="C16" s="4" t="s">
        <v>83</v>
      </c>
      <c r="D16" s="4" t="s">
        <v>84</v>
      </c>
      <c r="E16" s="4" t="s">
        <v>85</v>
      </c>
      <c r="F16" s="4" t="s">
        <v>86</v>
      </c>
    </row>
    <row r="17" customFormat="false" ht="41.25" hidden="false" customHeight="true" outlineLevel="0" collapsed="false">
      <c r="A17" s="4" t="s">
        <v>87</v>
      </c>
      <c r="B17" s="4" t="s">
        <v>7</v>
      </c>
      <c r="C17" s="4" t="s">
        <v>88</v>
      </c>
      <c r="D17" s="4" t="s">
        <v>89</v>
      </c>
      <c r="E17" s="4" t="s">
        <v>90</v>
      </c>
      <c r="F17" s="4" t="s">
        <v>91</v>
      </c>
    </row>
    <row r="18" customFormat="false" ht="54.75" hidden="false" customHeight="true" outlineLevel="0" collapsed="false">
      <c r="A18" s="4" t="s">
        <v>92</v>
      </c>
      <c r="B18" s="4" t="s">
        <v>93</v>
      </c>
      <c r="C18" s="4" t="s">
        <v>94</v>
      </c>
      <c r="D18" s="4" t="s">
        <v>95</v>
      </c>
      <c r="E18" s="4" t="s">
        <v>96</v>
      </c>
      <c r="F18" s="4" t="s">
        <v>97</v>
      </c>
    </row>
    <row r="19" customFormat="false" ht="41.25" hidden="false" customHeight="true" outlineLevel="0" collapsed="false">
      <c r="A19" s="4" t="s">
        <v>98</v>
      </c>
      <c r="B19" s="4" t="s">
        <v>99</v>
      </c>
      <c r="C19" s="4" t="s">
        <v>100</v>
      </c>
      <c r="D19" s="4" t="s">
        <v>101</v>
      </c>
      <c r="E19" s="4" t="s">
        <v>102</v>
      </c>
      <c r="F19" s="4" t="s">
        <v>103</v>
      </c>
    </row>
    <row r="20" customFormat="false" ht="41.25" hidden="false" customHeight="true" outlineLevel="0" collapsed="false">
      <c r="A20" s="4" t="s">
        <v>104</v>
      </c>
      <c r="B20" s="4" t="s">
        <v>105</v>
      </c>
      <c r="C20" s="4" t="s">
        <v>106</v>
      </c>
      <c r="D20" s="4" t="s">
        <v>107</v>
      </c>
      <c r="E20" s="4" t="s">
        <v>108</v>
      </c>
      <c r="F20" s="4" t="s">
        <v>109</v>
      </c>
    </row>
    <row r="21" customFormat="false" ht="41.25" hidden="false" customHeight="true" outlineLevel="0" collapsed="false">
      <c r="A21" s="4" t="s">
        <v>110</v>
      </c>
      <c r="B21" s="4" t="s">
        <v>111</v>
      </c>
      <c r="C21" s="4" t="s">
        <v>112</v>
      </c>
      <c r="D21" s="4" t="s">
        <v>113</v>
      </c>
      <c r="E21" s="4" t="s">
        <v>114</v>
      </c>
      <c r="F21" s="4" t="s">
        <v>115</v>
      </c>
    </row>
    <row r="22" customFormat="false" ht="54.75" hidden="false" customHeight="true" outlineLevel="0" collapsed="false">
      <c r="A22" s="4" t="s">
        <v>116</v>
      </c>
      <c r="B22" s="4" t="s">
        <v>117</v>
      </c>
      <c r="C22" s="4" t="s">
        <v>118</v>
      </c>
      <c r="D22" s="4" t="s">
        <v>119</v>
      </c>
      <c r="E22" s="4" t="s">
        <v>120</v>
      </c>
      <c r="F22" s="4" t="s">
        <v>121</v>
      </c>
    </row>
    <row r="23" customFormat="false" ht="54.75" hidden="false" customHeight="true" outlineLevel="0" collapsed="false">
      <c r="A23" s="4" t="s">
        <v>122</v>
      </c>
      <c r="B23" s="4" t="s">
        <v>123</v>
      </c>
      <c r="C23" s="4" t="s">
        <v>124</v>
      </c>
      <c r="D23" s="4" t="s">
        <v>125</v>
      </c>
      <c r="E23" s="4" t="s">
        <v>126</v>
      </c>
      <c r="F23" s="4" t="s">
        <v>127</v>
      </c>
    </row>
    <row r="24" customFormat="false" ht="41.25" hidden="false" customHeight="true" outlineLevel="0" collapsed="false">
      <c r="A24" s="4" t="s">
        <v>128</v>
      </c>
      <c r="B24" s="4" t="s">
        <v>129</v>
      </c>
      <c r="C24" s="4" t="s">
        <v>130</v>
      </c>
      <c r="D24" s="4" t="s">
        <v>131</v>
      </c>
      <c r="E24" s="4" t="s">
        <v>132</v>
      </c>
      <c r="F24" s="4" t="s">
        <v>133</v>
      </c>
    </row>
    <row r="25" customFormat="false" ht="41.25" hidden="false" customHeight="true" outlineLevel="0" collapsed="false">
      <c r="A25" s="4" t="s">
        <v>134</v>
      </c>
      <c r="B25" s="4" t="s">
        <v>135</v>
      </c>
      <c r="C25" s="4" t="s">
        <v>136</v>
      </c>
      <c r="D25" s="4" t="s">
        <v>137</v>
      </c>
      <c r="E25" s="4" t="s">
        <v>138</v>
      </c>
      <c r="F25" s="4" t="s">
        <v>139</v>
      </c>
    </row>
    <row r="26" customFormat="false" ht="41.25" hidden="false" customHeight="true" outlineLevel="0" collapsed="false">
      <c r="A26" s="4" t="s">
        <v>140</v>
      </c>
      <c r="B26" s="4" t="s">
        <v>13</v>
      </c>
      <c r="C26" s="4" t="s">
        <v>141</v>
      </c>
      <c r="D26" s="4" t="s">
        <v>142</v>
      </c>
      <c r="E26" s="4" t="s">
        <v>143</v>
      </c>
      <c r="F26" s="4" t="s">
        <v>144</v>
      </c>
    </row>
    <row r="27" customFormat="false" ht="27.75" hidden="false" customHeight="true" outlineLevel="0" collapsed="false">
      <c r="A27" s="4" t="s">
        <v>145</v>
      </c>
      <c r="B27" s="4" t="s">
        <v>13</v>
      </c>
      <c r="C27" s="4" t="s">
        <v>146</v>
      </c>
      <c r="D27" s="4" t="s">
        <v>147</v>
      </c>
      <c r="E27" s="4" t="s">
        <v>148</v>
      </c>
      <c r="F27" s="4" t="s">
        <v>149</v>
      </c>
    </row>
    <row r="28" customFormat="false" ht="41.25" hidden="false" customHeight="true" outlineLevel="0" collapsed="false">
      <c r="A28" s="4" t="s">
        <v>150</v>
      </c>
      <c r="B28" s="4" t="s">
        <v>151</v>
      </c>
      <c r="C28" s="4" t="s">
        <v>152</v>
      </c>
      <c r="D28" s="4" t="s">
        <v>153</v>
      </c>
      <c r="E28" s="4" t="s">
        <v>154</v>
      </c>
      <c r="F28" s="4" t="s">
        <v>155</v>
      </c>
    </row>
    <row r="29" customFormat="false" ht="41.25" hidden="false" customHeight="true" outlineLevel="0" collapsed="false">
      <c r="A29" s="4" t="s">
        <v>156</v>
      </c>
      <c r="B29" s="4" t="s">
        <v>157</v>
      </c>
      <c r="C29" s="4" t="s">
        <v>158</v>
      </c>
      <c r="D29" s="4" t="s">
        <v>159</v>
      </c>
      <c r="E29" s="4" t="s">
        <v>160</v>
      </c>
      <c r="F29" s="4" t="s">
        <v>161</v>
      </c>
    </row>
    <row r="30" customFormat="false" ht="54.75" hidden="false" customHeight="true" outlineLevel="0" collapsed="false">
      <c r="A30" s="4" t="s">
        <v>162</v>
      </c>
      <c r="B30" s="4" t="s">
        <v>163</v>
      </c>
      <c r="C30" s="4" t="s">
        <v>164</v>
      </c>
      <c r="D30" s="4" t="s">
        <v>165</v>
      </c>
      <c r="E30" s="4" t="s">
        <v>166</v>
      </c>
      <c r="F30" s="4" t="s">
        <v>167</v>
      </c>
    </row>
    <row r="31" customFormat="false" ht="41.25" hidden="false" customHeight="true" outlineLevel="0" collapsed="false">
      <c r="A31" s="4" t="s">
        <v>168</v>
      </c>
      <c r="B31" s="4" t="s">
        <v>169</v>
      </c>
      <c r="C31" s="4" t="s">
        <v>170</v>
      </c>
      <c r="D31" s="4" t="s">
        <v>171</v>
      </c>
      <c r="E31" s="4" t="s">
        <v>172</v>
      </c>
      <c r="F31" s="4" t="s">
        <v>173</v>
      </c>
    </row>
    <row r="32" customFormat="false" ht="54.75" hidden="false" customHeight="true" outlineLevel="0" collapsed="false">
      <c r="A32" s="4" t="s">
        <v>174</v>
      </c>
      <c r="B32" s="4" t="s">
        <v>175</v>
      </c>
      <c r="C32" s="4" t="s">
        <v>176</v>
      </c>
      <c r="D32" s="4" t="s">
        <v>177</v>
      </c>
      <c r="E32" s="4" t="s">
        <v>178</v>
      </c>
      <c r="F32" s="4" t="s">
        <v>179</v>
      </c>
    </row>
    <row r="33" customFormat="false" ht="54.75" hidden="false" customHeight="true" outlineLevel="0" collapsed="false">
      <c r="A33" s="4" t="s">
        <v>180</v>
      </c>
      <c r="B33" s="4" t="s">
        <v>181</v>
      </c>
      <c r="C33" s="4" t="s">
        <v>182</v>
      </c>
      <c r="D33" s="4" t="s">
        <v>183</v>
      </c>
      <c r="E33" s="4" t="s">
        <v>184</v>
      </c>
      <c r="F33" s="4" t="s">
        <v>185</v>
      </c>
    </row>
    <row r="34" customFormat="false" ht="27.75" hidden="false" customHeight="true" outlineLevel="0" collapsed="false">
      <c r="A34" s="4" t="s">
        <v>186</v>
      </c>
      <c r="B34" s="4" t="s">
        <v>181</v>
      </c>
      <c r="C34" s="4" t="s">
        <v>187</v>
      </c>
      <c r="D34" s="4" t="s">
        <v>188</v>
      </c>
      <c r="E34" s="4" t="s">
        <v>189</v>
      </c>
      <c r="F34" s="4" t="s">
        <v>185</v>
      </c>
    </row>
    <row r="35" customFormat="false" ht="41.25" hidden="false" customHeight="true" outlineLevel="0" collapsed="false">
      <c r="A35" s="4" t="s">
        <v>190</v>
      </c>
      <c r="B35" s="4" t="s">
        <v>181</v>
      </c>
      <c r="C35" s="4" t="s">
        <v>191</v>
      </c>
      <c r="D35" s="4" t="s">
        <v>192</v>
      </c>
      <c r="E35" s="4" t="s">
        <v>193</v>
      </c>
      <c r="F35" s="4" t="s">
        <v>185</v>
      </c>
    </row>
    <row r="36" customFormat="false" ht="41.25" hidden="false" customHeight="true" outlineLevel="0" collapsed="false">
      <c r="A36" s="4" t="s">
        <v>194</v>
      </c>
      <c r="B36" s="4" t="s">
        <v>181</v>
      </c>
      <c r="C36" s="4" t="s">
        <v>195</v>
      </c>
      <c r="D36" s="4" t="s">
        <v>196</v>
      </c>
      <c r="E36" s="4" t="s">
        <v>197</v>
      </c>
      <c r="F36" s="4" t="s">
        <v>198</v>
      </c>
    </row>
    <row r="37" customFormat="false" ht="41.25" hidden="false" customHeight="true" outlineLevel="0" collapsed="false">
      <c r="A37" s="4" t="s">
        <v>199</v>
      </c>
      <c r="B37" s="4" t="s">
        <v>200</v>
      </c>
      <c r="C37" s="4" t="s">
        <v>201</v>
      </c>
      <c r="D37" s="4" t="s">
        <v>202</v>
      </c>
      <c r="E37" s="4" t="s">
        <v>203</v>
      </c>
      <c r="F37" s="4" t="s">
        <v>185</v>
      </c>
    </row>
    <row r="38" customFormat="false" ht="41.25" hidden="false" customHeight="true" outlineLevel="0" collapsed="false">
      <c r="A38" s="4" t="s">
        <v>204</v>
      </c>
      <c r="B38" s="4" t="s">
        <v>200</v>
      </c>
      <c r="C38" s="4" t="s">
        <v>205</v>
      </c>
      <c r="D38" s="4" t="s">
        <v>206</v>
      </c>
      <c r="E38" s="4" t="s">
        <v>207</v>
      </c>
      <c r="F38" s="4" t="s">
        <v>185</v>
      </c>
    </row>
    <row r="39" customFormat="false" ht="27.75" hidden="false" customHeight="true" outlineLevel="0" collapsed="false">
      <c r="A39" s="4" t="s">
        <v>208</v>
      </c>
      <c r="B39" s="4" t="s">
        <v>200</v>
      </c>
      <c r="C39" s="4" t="s">
        <v>209</v>
      </c>
      <c r="D39" s="4" t="s">
        <v>210</v>
      </c>
      <c r="E39" s="4" t="s">
        <v>211</v>
      </c>
      <c r="F39" s="4" t="s">
        <v>212</v>
      </c>
    </row>
    <row r="40" customFormat="false" ht="41.25" hidden="false" customHeight="true" outlineLevel="0" collapsed="false">
      <c r="A40" s="4" t="s">
        <v>213</v>
      </c>
      <c r="B40" s="4" t="s">
        <v>200</v>
      </c>
      <c r="C40" s="4" t="s">
        <v>214</v>
      </c>
      <c r="D40" s="4" t="s">
        <v>215</v>
      </c>
      <c r="E40" s="4" t="s">
        <v>216</v>
      </c>
      <c r="F40" s="4" t="s">
        <v>217</v>
      </c>
    </row>
    <row r="41" customFormat="false" ht="41.25" hidden="false" customHeight="true" outlineLevel="0" collapsed="false">
      <c r="A41" s="4" t="s">
        <v>218</v>
      </c>
      <c r="B41" s="4" t="s">
        <v>200</v>
      </c>
      <c r="C41" s="4" t="s">
        <v>219</v>
      </c>
      <c r="D41" s="4" t="s">
        <v>220</v>
      </c>
      <c r="E41" s="4" t="s">
        <v>221</v>
      </c>
      <c r="F41" s="4" t="s">
        <v>185</v>
      </c>
    </row>
    <row r="42" customFormat="false" ht="41.25" hidden="false" customHeight="true" outlineLevel="0" collapsed="false">
      <c r="A42" s="4" t="s">
        <v>222</v>
      </c>
      <c r="B42" s="4" t="s">
        <v>200</v>
      </c>
      <c r="C42" s="4" t="s">
        <v>223</v>
      </c>
      <c r="D42" s="4" t="s">
        <v>224</v>
      </c>
      <c r="E42" s="4" t="s">
        <v>225</v>
      </c>
      <c r="F42" s="4" t="s">
        <v>185</v>
      </c>
    </row>
    <row r="43" customFormat="false" ht="54.75" hidden="false" customHeight="true" outlineLevel="0" collapsed="false">
      <c r="A43" s="4" t="s">
        <v>226</v>
      </c>
      <c r="B43" s="4" t="s">
        <v>227</v>
      </c>
      <c r="C43" s="4" t="s">
        <v>228</v>
      </c>
      <c r="D43" s="4" t="s">
        <v>229</v>
      </c>
      <c r="E43" s="4" t="s">
        <v>230</v>
      </c>
      <c r="F43" s="4" t="s">
        <v>231</v>
      </c>
    </row>
    <row r="44" customFormat="false" ht="54.75" hidden="false" customHeight="true" outlineLevel="0" collapsed="false">
      <c r="A44" s="4" t="s">
        <v>232</v>
      </c>
      <c r="B44" s="4" t="s">
        <v>227</v>
      </c>
      <c r="C44" s="4" t="s">
        <v>233</v>
      </c>
      <c r="D44" s="4" t="s">
        <v>234</v>
      </c>
      <c r="E44" s="4" t="s">
        <v>235</v>
      </c>
      <c r="F44" s="4" t="s">
        <v>236</v>
      </c>
    </row>
    <row r="45" customFormat="false" ht="54.75" hidden="false" customHeight="true" outlineLevel="0" collapsed="false">
      <c r="A45" s="4" t="s">
        <v>237</v>
      </c>
      <c r="B45" s="4" t="s">
        <v>238</v>
      </c>
      <c r="C45" s="4" t="s">
        <v>239</v>
      </c>
      <c r="D45" s="4" t="s">
        <v>240</v>
      </c>
      <c r="E45" s="4" t="s">
        <v>241</v>
      </c>
      <c r="F45" s="4" t="s">
        <v>242</v>
      </c>
    </row>
    <row r="46" customFormat="false" ht="54.75" hidden="false" customHeight="true" outlineLevel="0" collapsed="false">
      <c r="A46" s="4" t="s">
        <v>243</v>
      </c>
      <c r="B46" s="4" t="s">
        <v>227</v>
      </c>
      <c r="C46" s="4" t="s">
        <v>244</v>
      </c>
      <c r="D46" s="4" t="s">
        <v>245</v>
      </c>
      <c r="E46" s="4" t="s">
        <v>246</v>
      </c>
      <c r="F46" s="4" t="s">
        <v>247</v>
      </c>
    </row>
    <row r="47" customFormat="false" ht="68.25" hidden="false" customHeight="true" outlineLevel="0" collapsed="false">
      <c r="A47" s="4" t="s">
        <v>248</v>
      </c>
      <c r="B47" s="4" t="s">
        <v>7</v>
      </c>
      <c r="C47" s="4" t="s">
        <v>249</v>
      </c>
      <c r="D47" s="4" t="s">
        <v>250</v>
      </c>
      <c r="E47" s="4" t="s">
        <v>251</v>
      </c>
      <c r="F47" s="4" t="s">
        <v>185</v>
      </c>
    </row>
    <row r="48" customFormat="false" ht="54.75" hidden="false" customHeight="true" outlineLevel="0" collapsed="false">
      <c r="A48" s="4" t="s">
        <v>252</v>
      </c>
      <c r="B48" s="4" t="s">
        <v>253</v>
      </c>
      <c r="C48" s="4" t="s">
        <v>254</v>
      </c>
      <c r="D48" s="4" t="s">
        <v>255</v>
      </c>
      <c r="E48" s="4" t="s">
        <v>256</v>
      </c>
      <c r="F48" s="4" t="s">
        <v>185</v>
      </c>
    </row>
    <row r="49" customFormat="false" ht="81.75" hidden="false" customHeight="true" outlineLevel="0" collapsed="false">
      <c r="A49" s="4" t="s">
        <v>257</v>
      </c>
      <c r="B49" s="4" t="s">
        <v>258</v>
      </c>
      <c r="C49" s="4" t="s">
        <v>259</v>
      </c>
      <c r="D49" s="4" t="s">
        <v>260</v>
      </c>
      <c r="E49" s="4" t="s">
        <v>261</v>
      </c>
      <c r="F49" s="4" t="s">
        <v>185</v>
      </c>
    </row>
    <row r="50" customFormat="false" ht="54.75" hidden="false" customHeight="true" outlineLevel="0" collapsed="false">
      <c r="A50" s="4" t="s">
        <v>262</v>
      </c>
      <c r="B50" s="4" t="s">
        <v>200</v>
      </c>
      <c r="C50" s="4" t="s">
        <v>263</v>
      </c>
      <c r="D50" s="4" t="s">
        <v>264</v>
      </c>
      <c r="E50" s="4" t="s">
        <v>265</v>
      </c>
      <c r="F50" s="4" t="s">
        <v>185</v>
      </c>
    </row>
    <row r="51" customFormat="false" ht="41.25" hidden="false" customHeight="true" outlineLevel="0" collapsed="false">
      <c r="A51" s="4" t="s">
        <v>266</v>
      </c>
      <c r="B51" s="4" t="s">
        <v>13</v>
      </c>
      <c r="C51" s="4" t="s">
        <v>267</v>
      </c>
      <c r="D51" s="4" t="s">
        <v>268</v>
      </c>
      <c r="E51" s="4" t="s">
        <v>269</v>
      </c>
      <c r="F51" s="4" t="s">
        <v>185</v>
      </c>
    </row>
    <row r="52" customFormat="false" ht="81.75" hidden="false" customHeight="true" outlineLevel="0" collapsed="false">
      <c r="A52" s="4" t="s">
        <v>270</v>
      </c>
      <c r="B52" s="4" t="s">
        <v>238</v>
      </c>
      <c r="C52" s="4" t="s">
        <v>271</v>
      </c>
      <c r="D52" s="4" t="s">
        <v>272</v>
      </c>
      <c r="E52" s="4" t="s">
        <v>273</v>
      </c>
      <c r="F52" s="4" t="s">
        <v>274</v>
      </c>
    </row>
    <row r="53" customFormat="false" ht="68.25" hidden="false" customHeight="true" outlineLevel="0" collapsed="false">
      <c r="A53" s="4" t="s">
        <v>275</v>
      </c>
      <c r="B53" s="4" t="s">
        <v>39</v>
      </c>
      <c r="C53" s="4" t="s">
        <v>276</v>
      </c>
      <c r="D53" s="4" t="s">
        <v>277</v>
      </c>
      <c r="E53" s="4" t="s">
        <v>278</v>
      </c>
      <c r="F53" s="4" t="s">
        <v>279</v>
      </c>
    </row>
    <row r="54" customFormat="false" ht="41.25" hidden="false" customHeight="true" outlineLevel="0" collapsed="false">
      <c r="A54" s="4" t="s">
        <v>280</v>
      </c>
      <c r="B54" s="4" t="s">
        <v>281</v>
      </c>
      <c r="C54" s="4" t="s">
        <v>282</v>
      </c>
      <c r="D54" s="4" t="s">
        <v>283</v>
      </c>
      <c r="E54" s="4" t="s">
        <v>284</v>
      </c>
      <c r="F54" s="4" t="s">
        <v>285</v>
      </c>
    </row>
    <row r="55" customFormat="false" ht="41.25" hidden="false" customHeight="true" outlineLevel="0" collapsed="false">
      <c r="A55" s="4" t="s">
        <v>286</v>
      </c>
      <c r="B55" s="4" t="s">
        <v>287</v>
      </c>
      <c r="C55" s="4" t="s">
        <v>288</v>
      </c>
      <c r="D55" s="4" t="s">
        <v>289</v>
      </c>
      <c r="E55" s="4" t="s">
        <v>290</v>
      </c>
      <c r="F55" s="4" t="s">
        <v>291</v>
      </c>
    </row>
    <row r="56" customFormat="false" ht="41.25" hidden="false" customHeight="true" outlineLevel="0" collapsed="false">
      <c r="A56" s="4" t="s">
        <v>292</v>
      </c>
      <c r="B56" s="4" t="s">
        <v>238</v>
      </c>
      <c r="C56" s="4" t="s">
        <v>293</v>
      </c>
      <c r="D56" s="4" t="s">
        <v>294</v>
      </c>
      <c r="E56" s="4" t="s">
        <v>295</v>
      </c>
      <c r="F56" s="4" t="s">
        <v>296</v>
      </c>
    </row>
    <row r="57" customFormat="false" ht="41.25" hidden="false" customHeight="true" outlineLevel="0" collapsed="false">
      <c r="A57" s="4" t="s">
        <v>297</v>
      </c>
      <c r="B57" s="4" t="s">
        <v>7</v>
      </c>
      <c r="C57" s="4" t="s">
        <v>298</v>
      </c>
      <c r="D57" s="4" t="s">
        <v>299</v>
      </c>
      <c r="E57" s="4" t="s">
        <v>300</v>
      </c>
      <c r="F57" s="4" t="s">
        <v>301</v>
      </c>
    </row>
    <row r="58" customFormat="false" ht="68.25" hidden="false" customHeight="true" outlineLevel="0" collapsed="false">
      <c r="A58" s="4" t="s">
        <v>302</v>
      </c>
      <c r="B58" s="4" t="s">
        <v>303</v>
      </c>
      <c r="C58" s="4" t="s">
        <v>304</v>
      </c>
      <c r="D58" s="4" t="s">
        <v>305</v>
      </c>
      <c r="E58" s="4" t="s">
        <v>306</v>
      </c>
      <c r="F58" s="4" t="s">
        <v>307</v>
      </c>
    </row>
    <row r="59" customFormat="false" ht="41.25" hidden="false" customHeight="true" outlineLevel="0" collapsed="false">
      <c r="A59" s="4" t="s">
        <v>308</v>
      </c>
      <c r="B59" s="4" t="s">
        <v>309</v>
      </c>
      <c r="C59" s="4" t="s">
        <v>310</v>
      </c>
      <c r="D59" s="4" t="s">
        <v>311</v>
      </c>
      <c r="E59" s="4" t="s">
        <v>312</v>
      </c>
      <c r="F59" s="4" t="s">
        <v>313</v>
      </c>
    </row>
    <row r="60" customFormat="false" ht="54.75" hidden="false" customHeight="true" outlineLevel="0" collapsed="false">
      <c r="A60" s="4" t="s">
        <v>314</v>
      </c>
      <c r="B60" s="4" t="s">
        <v>315</v>
      </c>
      <c r="C60" s="4" t="s">
        <v>316</v>
      </c>
      <c r="D60" s="4" t="s">
        <v>317</v>
      </c>
      <c r="E60" s="4" t="s">
        <v>318</v>
      </c>
      <c r="F60" s="4" t="s">
        <v>319</v>
      </c>
    </row>
    <row r="61" customFormat="false" ht="41.25" hidden="false" customHeight="true" outlineLevel="0" collapsed="false">
      <c r="A61" s="4" t="s">
        <v>320</v>
      </c>
      <c r="B61" s="4" t="s">
        <v>321</v>
      </c>
      <c r="C61" s="4" t="s">
        <v>322</v>
      </c>
      <c r="D61" s="4" t="s">
        <v>323</v>
      </c>
      <c r="E61" s="4" t="s">
        <v>324</v>
      </c>
      <c r="F61" s="4" t="s">
        <v>325</v>
      </c>
    </row>
    <row r="62" customFormat="false" ht="41.25" hidden="false" customHeight="true" outlineLevel="0" collapsed="false">
      <c r="A62" s="4" t="s">
        <v>326</v>
      </c>
      <c r="B62" s="4" t="s">
        <v>327</v>
      </c>
      <c r="C62" s="4" t="s">
        <v>328</v>
      </c>
      <c r="D62" s="4" t="s">
        <v>329</v>
      </c>
      <c r="E62" s="4" t="s">
        <v>330</v>
      </c>
      <c r="F62" s="4" t="s">
        <v>331</v>
      </c>
    </row>
    <row r="63" customFormat="false" ht="81.75" hidden="false" customHeight="true" outlineLevel="0" collapsed="false">
      <c r="A63" s="4" t="s">
        <v>332</v>
      </c>
      <c r="B63" s="4" t="s">
        <v>333</v>
      </c>
      <c r="C63" s="4" t="s">
        <v>334</v>
      </c>
      <c r="D63" s="4" t="s">
        <v>335</v>
      </c>
      <c r="E63" s="4" t="s">
        <v>336</v>
      </c>
      <c r="F63" s="4" t="s">
        <v>337</v>
      </c>
    </row>
    <row r="64" customFormat="false" ht="41.25" hidden="false" customHeight="true" outlineLevel="0" collapsed="false">
      <c r="A64" s="4" t="s">
        <v>338</v>
      </c>
      <c r="B64" s="4" t="s">
        <v>339</v>
      </c>
      <c r="C64" s="4" t="s">
        <v>340</v>
      </c>
      <c r="D64" s="4" t="s">
        <v>341</v>
      </c>
      <c r="E64" s="4" t="s">
        <v>342</v>
      </c>
      <c r="F64" s="4" t="s">
        <v>343</v>
      </c>
    </row>
    <row r="65" customFormat="false" ht="41.25" hidden="false" customHeight="true" outlineLevel="0" collapsed="false">
      <c r="A65" s="4" t="s">
        <v>344</v>
      </c>
      <c r="B65" s="4" t="s">
        <v>345</v>
      </c>
      <c r="C65" s="4" t="s">
        <v>346</v>
      </c>
      <c r="D65" s="4" t="s">
        <v>347</v>
      </c>
      <c r="E65" s="4" t="s">
        <v>348</v>
      </c>
      <c r="F65" s="4" t="s">
        <v>349</v>
      </c>
    </row>
    <row r="66" customFormat="false" ht="54.75" hidden="false" customHeight="true" outlineLevel="0" collapsed="false">
      <c r="A66" s="4" t="s">
        <v>350</v>
      </c>
      <c r="B66" s="4" t="s">
        <v>351</v>
      </c>
      <c r="C66" s="4" t="s">
        <v>352</v>
      </c>
      <c r="D66" s="4" t="s">
        <v>353</v>
      </c>
      <c r="E66" s="4" t="s">
        <v>354</v>
      </c>
      <c r="F66" s="4" t="s">
        <v>355</v>
      </c>
    </row>
    <row r="67" customFormat="false" ht="54.75" hidden="false" customHeight="true" outlineLevel="0" collapsed="false">
      <c r="A67" s="4" t="s">
        <v>356</v>
      </c>
      <c r="B67" s="4" t="s">
        <v>357</v>
      </c>
      <c r="C67" s="4" t="s">
        <v>358</v>
      </c>
      <c r="D67" s="4" t="s">
        <v>359</v>
      </c>
      <c r="E67" s="4" t="s">
        <v>360</v>
      </c>
      <c r="F67" s="4" t="s">
        <v>361</v>
      </c>
    </row>
    <row r="68" customFormat="false" ht="68.25" hidden="false" customHeight="true" outlineLevel="0" collapsed="false">
      <c r="A68" s="4" t="s">
        <v>362</v>
      </c>
      <c r="B68" s="4" t="s">
        <v>363</v>
      </c>
      <c r="C68" s="4" t="s">
        <v>364</v>
      </c>
      <c r="D68" s="4" t="s">
        <v>365</v>
      </c>
      <c r="E68" s="4" t="s">
        <v>366</v>
      </c>
      <c r="F68" s="4" t="s">
        <v>367</v>
      </c>
    </row>
    <row r="69" customFormat="false" ht="68.25" hidden="false" customHeight="true" outlineLevel="0" collapsed="false">
      <c r="A69" s="4" t="s">
        <v>368</v>
      </c>
      <c r="B69" s="4" t="s">
        <v>357</v>
      </c>
      <c r="C69" s="4" t="s">
        <v>369</v>
      </c>
      <c r="D69" s="4" t="s">
        <v>370</v>
      </c>
      <c r="E69" s="4" t="s">
        <v>371</v>
      </c>
      <c r="F69" s="4" t="s">
        <v>372</v>
      </c>
    </row>
    <row r="70" customFormat="false" ht="41.25" hidden="false" customHeight="true" outlineLevel="0" collapsed="false">
      <c r="A70" s="4" t="s">
        <v>373</v>
      </c>
      <c r="B70" s="4" t="s">
        <v>374</v>
      </c>
      <c r="C70" s="4" t="s">
        <v>375</v>
      </c>
      <c r="D70" s="4" t="s">
        <v>376</v>
      </c>
      <c r="E70" s="4" t="s">
        <v>377</v>
      </c>
      <c r="F70" s="4" t="s">
        <v>378</v>
      </c>
    </row>
    <row r="71" customFormat="false" ht="68.25" hidden="false" customHeight="true" outlineLevel="0" collapsed="false">
      <c r="A71" s="4" t="s">
        <v>379</v>
      </c>
      <c r="B71" s="4" t="s">
        <v>380</v>
      </c>
      <c r="C71" s="4" t="s">
        <v>381</v>
      </c>
      <c r="D71" s="4" t="s">
        <v>382</v>
      </c>
      <c r="E71" s="4" t="s">
        <v>383</v>
      </c>
      <c r="F71" s="4" t="s">
        <v>384</v>
      </c>
    </row>
    <row r="72" customFormat="false" ht="108.75" hidden="false" customHeight="true" outlineLevel="0" collapsed="false">
      <c r="A72" s="4" t="s">
        <v>385</v>
      </c>
      <c r="B72" s="4" t="s">
        <v>386</v>
      </c>
      <c r="C72" s="4" t="s">
        <v>387</v>
      </c>
      <c r="D72" s="4" t="s">
        <v>388</v>
      </c>
      <c r="E72" s="4" t="s">
        <v>389</v>
      </c>
      <c r="F72" s="4" t="s">
        <v>390</v>
      </c>
    </row>
    <row r="73" customFormat="false" ht="95.25" hidden="false" customHeight="true" outlineLevel="0" collapsed="false">
      <c r="A73" s="4" t="s">
        <v>391</v>
      </c>
      <c r="B73" s="4" t="s">
        <v>392</v>
      </c>
      <c r="C73" s="4" t="s">
        <v>393</v>
      </c>
      <c r="D73" s="4" t="s">
        <v>394</v>
      </c>
      <c r="E73" s="4" t="s">
        <v>395</v>
      </c>
      <c r="F73" s="4" t="s">
        <v>396</v>
      </c>
    </row>
    <row r="74" customFormat="false" ht="95.25" hidden="false" customHeight="true" outlineLevel="0" collapsed="false">
      <c r="A74" s="4" t="s">
        <v>397</v>
      </c>
      <c r="B74" s="4" t="s">
        <v>398</v>
      </c>
      <c r="C74" s="4" t="s">
        <v>399</v>
      </c>
      <c r="D74" s="4" t="s">
        <v>400</v>
      </c>
      <c r="E74" s="4" t="s">
        <v>401</v>
      </c>
      <c r="F74" s="4" t="s">
        <v>402</v>
      </c>
    </row>
    <row r="75" customFormat="false" ht="81.75" hidden="false" customHeight="true" outlineLevel="0" collapsed="false">
      <c r="A75" s="4" t="s">
        <v>403</v>
      </c>
      <c r="B75" s="4" t="s">
        <v>404</v>
      </c>
      <c r="C75" s="4" t="s">
        <v>405</v>
      </c>
      <c r="D75" s="4" t="s">
        <v>406</v>
      </c>
      <c r="E75" s="4" t="s">
        <v>407</v>
      </c>
      <c r="F75" s="4" t="s">
        <v>408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42"/>
    <col collapsed="false" customWidth="true" hidden="false" outlineLevel="0" max="3" min="3" style="1" width="26"/>
    <col collapsed="false" customWidth="true" hidden="false" outlineLevel="0" max="4" min="4" style="1" width="13"/>
    <col collapsed="false" customWidth="true" hidden="false" outlineLevel="0" max="5" min="5" style="1" width="11"/>
    <col collapsed="false" customWidth="true" hidden="false" outlineLevel="0" max="6" min="6" style="1" width="12"/>
    <col collapsed="false" customWidth="true" hidden="false" outlineLevel="0" max="7" min="7" style="1" width="24"/>
    <col collapsed="false" customWidth="true" hidden="false" outlineLevel="0" max="8" min="8" style="1" width="26"/>
    <col collapsed="false" customWidth="true" hidden="false" outlineLevel="0" max="10" min="9" style="1" width="14"/>
    <col collapsed="false" customWidth="true" hidden="false" outlineLevel="0" max="11" min="11" style="1" width="18"/>
  </cols>
  <sheetData>
    <row r="1" customFormat="false" ht="31.5" hidden="false" customHeight="true" outlineLevel="0" collapsed="false">
      <c r="A1" s="5" t="s">
        <v>409</v>
      </c>
      <c r="B1" s="5" t="s">
        <v>0</v>
      </c>
      <c r="C1" s="5" t="s">
        <v>410</v>
      </c>
      <c r="D1" s="5" t="s">
        <v>411</v>
      </c>
      <c r="E1" s="5" t="s">
        <v>412</v>
      </c>
      <c r="F1" s="5" t="s">
        <v>413</v>
      </c>
      <c r="G1" s="5" t="s">
        <v>414</v>
      </c>
      <c r="H1" s="5" t="s">
        <v>415</v>
      </c>
      <c r="I1" s="5" t="s">
        <v>416</v>
      </c>
      <c r="J1" s="5" t="s">
        <v>417</v>
      </c>
      <c r="K1" s="5" t="s">
        <v>418</v>
      </c>
    </row>
    <row r="2" customFormat="false" ht="15" hidden="false" customHeight="true" outlineLevel="0" collapsed="false">
      <c r="A2" s="6" t="n">
        <f aca="false">ROW(Sheet1!A2)</f>
        <v>2</v>
      </c>
      <c r="B2" s="6" t="str">
        <f aca="false">Sheet1!A2</f>
        <v>Management Age</v>
      </c>
      <c r="C2" s="6" t="str">
        <f aca="false">MID(Sheet1!D2,2,FIND("]",Sheet1!D2)-2)</f>
        <v>READINESS</v>
      </c>
      <c r="D2" s="6" t="str">
        <f aca="false">IF(ISNUMBER(FIND("CONTEXT",C2)),"CONTEXT",IF(ISNUMBER(FIND("BOTH",C2)),"BOTH",IF(ISNUMBER(FIND("READINESS",C2)),"READINESS","NEED")))</f>
        <v>READINESS</v>
      </c>
      <c r="E2" s="6" t="str">
        <f aca="false">IF(ISNUMBER(FIND("NEGATIVE",C2)),"Negative","Standard")</f>
        <v>Standard</v>
      </c>
      <c r="F2" s="7" t="s">
        <v>419</v>
      </c>
      <c r="G2" s="7" t="s">
        <v>420</v>
      </c>
      <c r="H2" s="7" t="s">
        <v>421</v>
      </c>
      <c r="I2" s="8"/>
      <c r="J2" s="8"/>
      <c r="K2" s="7" t="s">
        <v>422</v>
      </c>
    </row>
    <row r="3" customFormat="false" ht="15" hidden="false" customHeight="true" outlineLevel="0" collapsed="false">
      <c r="A3" s="6" t="n">
        <f aca="false">ROW(Sheet1!A3)</f>
        <v>3</v>
      </c>
      <c r="B3" s="6" t="str">
        <f aca="false">Sheet1!A3</f>
        <v>Management National diversity</v>
      </c>
      <c r="C3" s="6" t="str">
        <f aca="false">MID(Sheet1!D3,2,FIND("]",Sheet1!D3)-2)</f>
        <v>READINESS</v>
      </c>
      <c r="D3" s="6" t="str">
        <f aca="false">IF(ISNUMBER(FIND("CONTEXT",C3)),"CONTEXT",IF(ISNUMBER(FIND("BOTH",C3)),"BOTH",IF(ISNUMBER(FIND("READINESS",C3)),"READINESS","NEED")))</f>
        <v>READINESS</v>
      </c>
      <c r="E3" s="6" t="str">
        <f aca="false">IF(ISNUMBER(FIND("NEGATIVE",C3)),"Negative","Standard")</f>
        <v>Standard</v>
      </c>
      <c r="F3" s="7" t="s">
        <v>419</v>
      </c>
      <c r="G3" s="7" t="s">
        <v>420</v>
      </c>
      <c r="H3" s="7" t="s">
        <v>423</v>
      </c>
      <c r="I3" s="8"/>
      <c r="J3" s="8"/>
      <c r="K3" s="7" t="s">
        <v>422</v>
      </c>
    </row>
    <row r="4" customFormat="false" ht="15" hidden="false" customHeight="true" outlineLevel="0" collapsed="false">
      <c r="A4" s="6" t="n">
        <f aca="false">ROW(Sheet1!A4)</f>
        <v>4</v>
      </c>
      <c r="B4" s="6" t="str">
        <f aca="false">Sheet1!A4</f>
        <v>Management cultural diversity</v>
      </c>
      <c r="C4" s="6" t="str">
        <f aca="false">MID(Sheet1!D4,2,FIND("]",Sheet1!D4)-2)</f>
        <v>READINESS</v>
      </c>
      <c r="D4" s="6" t="str">
        <f aca="false">IF(ISNUMBER(FIND("CONTEXT",C4)),"CONTEXT",IF(ISNUMBER(FIND("BOTH",C4)),"BOTH",IF(ISNUMBER(FIND("READINESS",C4)),"READINESS","NEED")))</f>
        <v>READINESS</v>
      </c>
      <c r="E4" s="6" t="str">
        <f aca="false">IF(ISNUMBER(FIND("NEGATIVE",C4)),"Negative","Standard")</f>
        <v>Standard</v>
      </c>
      <c r="F4" s="7" t="s">
        <v>419</v>
      </c>
      <c r="G4" s="7" t="s">
        <v>420</v>
      </c>
      <c r="H4" s="7" t="s">
        <v>423</v>
      </c>
      <c r="I4" s="8"/>
      <c r="J4" s="8"/>
      <c r="K4" s="7" t="s">
        <v>422</v>
      </c>
    </row>
    <row r="5" customFormat="false" ht="15" hidden="false" customHeight="true" outlineLevel="0" collapsed="false">
      <c r="A5" s="6" t="n">
        <f aca="false">ROW(Sheet1!A5)</f>
        <v>5</v>
      </c>
      <c r="B5" s="6" t="str">
        <f aca="false">Sheet1!A5</f>
        <v>Management gender diversity</v>
      </c>
      <c r="C5" s="6" t="str">
        <f aca="false">MID(Sheet1!D5,2,FIND("]",Sheet1!D5)-2)</f>
        <v>READINESS</v>
      </c>
      <c r="D5" s="6" t="str">
        <f aca="false">IF(ISNUMBER(FIND("CONTEXT",C5)),"CONTEXT",IF(ISNUMBER(FIND("BOTH",C5)),"BOTH",IF(ISNUMBER(FIND("READINESS",C5)),"READINESS","NEED")))</f>
        <v>READINESS</v>
      </c>
      <c r="E5" s="6" t="str">
        <f aca="false">IF(ISNUMBER(FIND("NEGATIVE",C5)),"Negative","Standard")</f>
        <v>Standard</v>
      </c>
      <c r="F5" s="7" t="s">
        <v>419</v>
      </c>
      <c r="G5" s="7" t="s">
        <v>420</v>
      </c>
      <c r="H5" s="7" t="s">
        <v>423</v>
      </c>
      <c r="I5" s="8"/>
      <c r="J5" s="8"/>
      <c r="K5" s="7" t="s">
        <v>422</v>
      </c>
    </row>
    <row r="6" customFormat="false" ht="15" hidden="false" customHeight="true" outlineLevel="0" collapsed="false">
      <c r="A6" s="6" t="n">
        <f aca="false">ROW(Sheet1!A6)</f>
        <v>6</v>
      </c>
      <c r="B6" s="6" t="str">
        <f aca="false">Sheet1!A6</f>
        <v>Management level of education</v>
      </c>
      <c r="C6" s="6" t="str">
        <f aca="false">MID(Sheet1!D6,2,FIND("]",Sheet1!D6)-2)</f>
        <v>READINESS</v>
      </c>
      <c r="D6" s="6" t="str">
        <f aca="false">IF(ISNUMBER(FIND("CONTEXT",C6)),"CONTEXT",IF(ISNUMBER(FIND("BOTH",C6)),"BOTH",IF(ISNUMBER(FIND("READINESS",C6)),"READINESS","NEED")))</f>
        <v>READINESS</v>
      </c>
      <c r="E6" s="6" t="str">
        <f aca="false">IF(ISNUMBER(FIND("NEGATIVE",C6)),"Negative","Standard")</f>
        <v>Standard</v>
      </c>
      <c r="F6" s="7" t="s">
        <v>419</v>
      </c>
      <c r="G6" s="7" t="s">
        <v>420</v>
      </c>
      <c r="H6" s="4"/>
      <c r="I6" s="8"/>
      <c r="J6" s="8"/>
      <c r="K6" s="7" t="s">
        <v>422</v>
      </c>
    </row>
    <row r="7" customFormat="false" ht="15" hidden="false" customHeight="true" outlineLevel="0" collapsed="false">
      <c r="A7" s="6" t="n">
        <f aca="false">ROW(Sheet1!A7)</f>
        <v>7</v>
      </c>
      <c r="B7" s="6" t="str">
        <f aca="false">Sheet1!A7</f>
        <v>Management diversity of education</v>
      </c>
      <c r="C7" s="6" t="str">
        <f aca="false">MID(Sheet1!D7,2,FIND("]",Sheet1!D7)-2)</f>
        <v>READINESS</v>
      </c>
      <c r="D7" s="6" t="str">
        <f aca="false">IF(ISNUMBER(FIND("CONTEXT",C7)),"CONTEXT",IF(ISNUMBER(FIND("BOTH",C7)),"BOTH",IF(ISNUMBER(FIND("READINESS",C7)),"READINESS","NEED")))</f>
        <v>READINESS</v>
      </c>
      <c r="E7" s="6" t="str">
        <f aca="false">IF(ISNUMBER(FIND("NEGATIVE",C7)),"Negative","Standard")</f>
        <v>Standard</v>
      </c>
      <c r="F7" s="7" t="s">
        <v>419</v>
      </c>
      <c r="G7" s="7" t="s">
        <v>420</v>
      </c>
      <c r="H7" s="7" t="s">
        <v>423</v>
      </c>
      <c r="I7" s="8"/>
      <c r="J7" s="8"/>
      <c r="K7" s="7" t="s">
        <v>422</v>
      </c>
    </row>
    <row r="8" customFormat="false" ht="15" hidden="false" customHeight="true" outlineLevel="0" collapsed="false">
      <c r="A8" s="6" t="n">
        <f aca="false">ROW(Sheet1!A8)</f>
        <v>8</v>
      </c>
      <c r="B8" s="6" t="str">
        <f aca="false">Sheet1!A8</f>
        <v>New Generation of management</v>
      </c>
      <c r="C8" s="6" t="str">
        <f aca="false">MID(Sheet1!D8,2,FIND("]",Sheet1!D8)-2)</f>
        <v>BOTH</v>
      </c>
      <c r="D8" s="6" t="str">
        <f aca="false">IF(ISNUMBER(FIND("CONTEXT",C8)),"CONTEXT",IF(ISNUMBER(FIND("BOTH",C8)),"BOTH",IF(ISNUMBER(FIND("READINESS",C8)),"READINESS","NEED")))</f>
        <v>BOTH</v>
      </c>
      <c r="E8" s="6" t="str">
        <f aca="false">IF(ISNUMBER(FIND("NEGATIVE",C8)),"Negative","Standard")</f>
        <v>Standard</v>
      </c>
      <c r="F8" s="7" t="s">
        <v>419</v>
      </c>
      <c r="G8" s="7" t="s">
        <v>424</v>
      </c>
      <c r="H8" s="7" t="s">
        <v>421</v>
      </c>
      <c r="I8" s="8"/>
      <c r="J8" s="8"/>
      <c r="K8" s="7" t="s">
        <v>422</v>
      </c>
    </row>
    <row r="9" customFormat="false" ht="15" hidden="false" customHeight="true" outlineLevel="0" collapsed="false">
      <c r="A9" s="6" t="n">
        <f aca="false">ROW(Sheet1!A9)</f>
        <v>9</v>
      </c>
      <c r="B9" s="6" t="str">
        <f aca="false">Sheet1!A9</f>
        <v>Turnover of management</v>
      </c>
      <c r="C9" s="6" t="str">
        <f aca="false">MID(Sheet1!D9,2,FIND("]",Sheet1!D9)-2)</f>
        <v>NEED</v>
      </c>
      <c r="D9" s="6" t="str">
        <f aca="false">IF(ISNUMBER(FIND("CONTEXT",C9)),"CONTEXT",IF(ISNUMBER(FIND("BOTH",C9)),"BOTH",IF(ISNUMBER(FIND("READINESS",C9)),"READINESS","NEED")))</f>
        <v>NEED</v>
      </c>
      <c r="E9" s="6" t="str">
        <f aca="false">IF(ISNUMBER(FIND("NEGATIVE",C9)),"Negative","Standard")</f>
        <v>Standard</v>
      </c>
      <c r="F9" s="7" t="s">
        <v>419</v>
      </c>
      <c r="G9" s="7" t="s">
        <v>424</v>
      </c>
      <c r="H9" s="4"/>
      <c r="I9" s="8"/>
      <c r="J9" s="8"/>
      <c r="K9" s="7" t="s">
        <v>422</v>
      </c>
    </row>
    <row r="10" customFormat="false" ht="15" hidden="false" customHeight="true" outlineLevel="0" collapsed="false">
      <c r="A10" s="6" t="n">
        <f aca="false">ROW(Sheet1!A10)</f>
        <v>10</v>
      </c>
      <c r="B10" s="6" t="str">
        <f aca="false">Sheet1!A10</f>
        <v>External collaboration</v>
      </c>
      <c r="C10" s="6" t="str">
        <f aca="false">MID(Sheet1!D10,2,FIND("]",Sheet1!D10)-2)</f>
        <v>READINESS</v>
      </c>
      <c r="D10" s="6" t="str">
        <f aca="false">IF(ISNUMBER(FIND("CONTEXT",C10)),"CONTEXT",IF(ISNUMBER(FIND("BOTH",C10)),"BOTH",IF(ISNUMBER(FIND("READINESS",C10)),"READINESS","NEED")))</f>
        <v>READINESS</v>
      </c>
      <c r="E10" s="6" t="str">
        <f aca="false">IF(ISNUMBER(FIND("NEGATIVE",C10)),"Negative","Standard")</f>
        <v>Standard</v>
      </c>
      <c r="F10" s="7" t="s">
        <v>419</v>
      </c>
      <c r="G10" s="7" t="s">
        <v>425</v>
      </c>
      <c r="H10" s="4"/>
      <c r="I10" s="8"/>
      <c r="J10" s="8"/>
      <c r="K10" s="7" t="s">
        <v>422</v>
      </c>
    </row>
    <row r="11" customFormat="false" ht="15" hidden="false" customHeight="true" outlineLevel="0" collapsed="false">
      <c r="A11" s="6" t="n">
        <f aca="false">ROW(Sheet1!A11)</f>
        <v>11</v>
      </c>
      <c r="B11" s="6" t="str">
        <f aca="false">Sheet1!A11</f>
        <v>Interdepartmental collaboration</v>
      </c>
      <c r="C11" s="6" t="str">
        <f aca="false">MID(Sheet1!D11,2,FIND("]",Sheet1!D11)-2)</f>
        <v>READINESS</v>
      </c>
      <c r="D11" s="6" t="str">
        <f aca="false">IF(ISNUMBER(FIND("CONTEXT",C11)),"CONTEXT",IF(ISNUMBER(FIND("BOTH",C11)),"BOTH",IF(ISNUMBER(FIND("READINESS",C11)),"READINESS","NEED")))</f>
        <v>READINESS</v>
      </c>
      <c r="E11" s="6" t="str">
        <f aca="false">IF(ISNUMBER(FIND("NEGATIVE",C11)),"Negative","Standard")</f>
        <v>Standard</v>
      </c>
      <c r="F11" s="7" t="s">
        <v>419</v>
      </c>
      <c r="G11" s="7" t="s">
        <v>426</v>
      </c>
      <c r="H11" s="4"/>
      <c r="I11" s="8"/>
      <c r="J11" s="8"/>
      <c r="K11" s="7" t="s">
        <v>422</v>
      </c>
    </row>
    <row r="12" customFormat="false" ht="15" hidden="false" customHeight="true" outlineLevel="0" collapsed="false">
      <c r="A12" s="6" t="n">
        <f aca="false">ROW(Sheet1!A12)</f>
        <v>12</v>
      </c>
      <c r="B12" s="6" t="str">
        <f aca="false">Sheet1!A12</f>
        <v>Verticality in the structure</v>
      </c>
      <c r="C12" s="6" t="str">
        <f aca="false">MID(Sheet1!D12,2,FIND("]",Sheet1!D12)-2)</f>
        <v>READINESS</v>
      </c>
      <c r="D12" s="6" t="str">
        <f aca="false">IF(ISNUMBER(FIND("CONTEXT",C12)),"CONTEXT",IF(ISNUMBER(FIND("BOTH",C12)),"BOTH",IF(ISNUMBER(FIND("READINESS",C12)),"READINESS","NEED")))</f>
        <v>READINESS</v>
      </c>
      <c r="E12" s="6" t="str">
        <f aca="false">IF(ISNUMBER(FIND("NEGATIVE",C12)),"Negative","Standard")</f>
        <v>Standard</v>
      </c>
      <c r="F12" s="7" t="s">
        <v>419</v>
      </c>
      <c r="G12" s="7" t="s">
        <v>426</v>
      </c>
      <c r="H12" s="4"/>
      <c r="I12" s="8"/>
      <c r="J12" s="8"/>
      <c r="K12" s="7" t="s">
        <v>422</v>
      </c>
    </row>
    <row r="13" customFormat="false" ht="15" hidden="false" customHeight="true" outlineLevel="0" collapsed="false">
      <c r="A13" s="6" t="n">
        <f aca="false">ROW(Sheet1!A13)</f>
        <v>13</v>
      </c>
      <c r="B13" s="6" t="str">
        <f aca="false">Sheet1!A13</f>
        <v>Employee turnover</v>
      </c>
      <c r="C13" s="6" t="str">
        <f aca="false">MID(Sheet1!D13,2,FIND("]",Sheet1!D13)-2)</f>
        <v>READINESS</v>
      </c>
      <c r="D13" s="6" t="str">
        <f aca="false">IF(ISNUMBER(FIND("CONTEXT",C13)),"CONTEXT",IF(ISNUMBER(FIND("BOTH",C13)),"BOTH",IF(ISNUMBER(FIND("READINESS",C13)),"READINESS","NEED")))</f>
        <v>READINESS</v>
      </c>
      <c r="E13" s="6" t="str">
        <f aca="false">IF(ISNUMBER(FIND("NEGATIVE",C13)),"Negative","Standard")</f>
        <v>Standard</v>
      </c>
      <c r="F13" s="7" t="s">
        <v>419</v>
      </c>
      <c r="G13" s="7" t="s">
        <v>420</v>
      </c>
      <c r="H13" s="4"/>
      <c r="I13" s="8"/>
      <c r="J13" s="8"/>
      <c r="K13" s="7" t="s">
        <v>422</v>
      </c>
    </row>
    <row r="14" customFormat="false" ht="15" hidden="false" customHeight="true" outlineLevel="0" collapsed="false">
      <c r="A14" s="6" t="n">
        <f aca="false">ROW(Sheet1!A14)</f>
        <v>14</v>
      </c>
      <c r="B14" s="6" t="str">
        <f aca="false">Sheet1!A14</f>
        <v>Number of Employees</v>
      </c>
      <c r="C14" s="6" t="str">
        <f aca="false">MID(Sheet1!D14,2,FIND("]",Sheet1!D14)-2)</f>
        <v>READINESS</v>
      </c>
      <c r="D14" s="6" t="str">
        <f aca="false">IF(ISNUMBER(FIND("CONTEXT",C14)),"CONTEXT",IF(ISNUMBER(FIND("BOTH",C14)),"BOTH",IF(ISNUMBER(FIND("READINESS",C14)),"READINESS","NEED")))</f>
        <v>READINESS</v>
      </c>
      <c r="E14" s="6" t="str">
        <f aca="false">IF(ISNUMBER(FIND("NEGATIVE",C14)),"Negative","Standard")</f>
        <v>Standard</v>
      </c>
      <c r="F14" s="7" t="s">
        <v>419</v>
      </c>
      <c r="G14" s="7" t="s">
        <v>424</v>
      </c>
      <c r="H14" s="4"/>
      <c r="I14" s="8"/>
      <c r="J14" s="8"/>
      <c r="K14" s="7" t="s">
        <v>422</v>
      </c>
    </row>
    <row r="15" customFormat="false" ht="15" hidden="false" customHeight="true" outlineLevel="0" collapsed="false">
      <c r="A15" s="6" t="n">
        <f aca="false">ROW(Sheet1!A15)</f>
        <v>15</v>
      </c>
      <c r="B15" s="6" t="str">
        <f aca="false">Sheet1!A15</f>
        <v>Average Salary</v>
      </c>
      <c r="C15" s="6" t="str">
        <f aca="false">MID(Sheet1!D15,2,FIND("]",Sheet1!D15)-2)</f>
        <v>READINESS</v>
      </c>
      <c r="D15" s="6" t="str">
        <f aca="false">IF(ISNUMBER(FIND("CONTEXT",C15)),"CONTEXT",IF(ISNUMBER(FIND("BOTH",C15)),"BOTH",IF(ISNUMBER(FIND("READINESS",C15)),"READINESS","NEED")))</f>
        <v>READINESS</v>
      </c>
      <c r="E15" s="6" t="str">
        <f aca="false">IF(ISNUMBER(FIND("NEGATIVE",C15)),"Negative","Standard")</f>
        <v>Standard</v>
      </c>
      <c r="F15" s="7" t="s">
        <v>419</v>
      </c>
      <c r="G15" s="7" t="s">
        <v>420</v>
      </c>
      <c r="H15" s="4"/>
      <c r="I15" s="8"/>
      <c r="J15" s="8"/>
      <c r="K15" s="7" t="s">
        <v>422</v>
      </c>
    </row>
    <row r="16" customFormat="false" ht="15" hidden="false" customHeight="true" outlineLevel="0" collapsed="false">
      <c r="A16" s="6" t="n">
        <f aca="false">ROW(Sheet1!A16)</f>
        <v>16</v>
      </c>
      <c r="B16" s="6" t="str">
        <f aca="false">Sheet1!A16</f>
        <v>Skilled Labour</v>
      </c>
      <c r="C16" s="6" t="str">
        <f aca="false">MID(Sheet1!D16,2,FIND("]",Sheet1!D16)-2)</f>
        <v>READINESS</v>
      </c>
      <c r="D16" s="6" t="str">
        <f aca="false">IF(ISNUMBER(FIND("CONTEXT",C16)),"CONTEXT",IF(ISNUMBER(FIND("BOTH",C16)),"BOTH",IF(ISNUMBER(FIND("READINESS",C16)),"READINESS","NEED")))</f>
        <v>READINESS</v>
      </c>
      <c r="E16" s="6" t="str">
        <f aca="false">IF(ISNUMBER(FIND("NEGATIVE",C16)),"Negative","Standard")</f>
        <v>Standard</v>
      </c>
      <c r="F16" s="7" t="s">
        <v>419</v>
      </c>
      <c r="G16" s="7" t="s">
        <v>420</v>
      </c>
      <c r="H16" s="4"/>
      <c r="I16" s="8"/>
      <c r="J16" s="8"/>
      <c r="K16" s="7" t="s">
        <v>422</v>
      </c>
    </row>
    <row r="17" customFormat="false" ht="15" hidden="false" customHeight="true" outlineLevel="0" collapsed="false">
      <c r="A17" s="6" t="n">
        <f aca="false">ROW(Sheet1!A17)</f>
        <v>17</v>
      </c>
      <c r="B17" s="6" t="str">
        <f aca="false">Sheet1!A17</f>
        <v>Volume of online sales</v>
      </c>
      <c r="C17" s="6" t="str">
        <f aca="false">MID(Sheet1!D17,2,FIND("]",Sheet1!D17)-2)</f>
        <v>NEED</v>
      </c>
      <c r="D17" s="6" t="str">
        <f aca="false">IF(ISNUMBER(FIND("CONTEXT",C17)),"CONTEXT",IF(ISNUMBER(FIND("BOTH",C17)),"BOTH",IF(ISNUMBER(FIND("READINESS",C17)),"READINESS","NEED")))</f>
        <v>NEED</v>
      </c>
      <c r="E17" s="6" t="str">
        <f aca="false">IF(ISNUMBER(FIND("NEGATIVE",C17)),"Negative","Standard")</f>
        <v>Standard</v>
      </c>
      <c r="F17" s="7" t="s">
        <v>419</v>
      </c>
      <c r="G17" s="7" t="s">
        <v>420</v>
      </c>
      <c r="H17" s="7" t="s">
        <v>427</v>
      </c>
      <c r="I17" s="8"/>
      <c r="J17" s="8"/>
      <c r="K17" s="7" t="s">
        <v>422</v>
      </c>
    </row>
    <row r="18" customFormat="false" ht="15" hidden="false" customHeight="true" outlineLevel="0" collapsed="false">
      <c r="A18" s="6" t="n">
        <f aca="false">ROW(Sheet1!A18)</f>
        <v>18</v>
      </c>
      <c r="B18" s="6" t="str">
        <f aca="false">Sheet1!A18</f>
        <v>Online market presence</v>
      </c>
      <c r="C18" s="6" t="str">
        <f aca="false">MID(Sheet1!D18,2,FIND("]",Sheet1!D18)-2)</f>
        <v>NEED</v>
      </c>
      <c r="D18" s="6" t="str">
        <f aca="false">IF(ISNUMBER(FIND("CONTEXT",C18)),"CONTEXT",IF(ISNUMBER(FIND("BOTH",C18)),"BOTH",IF(ISNUMBER(FIND("READINESS",C18)),"READINESS","NEED")))</f>
        <v>NEED</v>
      </c>
      <c r="E18" s="6" t="str">
        <f aca="false">IF(ISNUMBER(FIND("NEGATIVE",C18)),"Negative","Standard")</f>
        <v>Standard</v>
      </c>
      <c r="F18" s="7" t="s">
        <v>419</v>
      </c>
      <c r="G18" s="7" t="s">
        <v>420</v>
      </c>
      <c r="H18" s="7" t="s">
        <v>427</v>
      </c>
      <c r="I18" s="8"/>
      <c r="J18" s="8"/>
      <c r="K18" s="7" t="s">
        <v>422</v>
      </c>
    </row>
    <row r="19" customFormat="false" ht="15" hidden="false" customHeight="true" outlineLevel="0" collapsed="false">
      <c r="A19" s="6" t="n">
        <f aca="false">ROW(Sheet1!A19)</f>
        <v>19</v>
      </c>
      <c r="B19" s="6" t="str">
        <f aca="false">Sheet1!A19</f>
        <v>Number of physical stores</v>
      </c>
      <c r="C19" s="6" t="str">
        <f aca="false">MID(Sheet1!D19,2,FIND("]",Sheet1!D19)-2)</f>
        <v>NEED</v>
      </c>
      <c r="D19" s="6" t="str">
        <f aca="false">IF(ISNUMBER(FIND("CONTEXT",C19)),"CONTEXT",IF(ISNUMBER(FIND("BOTH",C19)),"BOTH",IF(ISNUMBER(FIND("READINESS",C19)),"READINESS","NEED")))</f>
        <v>NEED</v>
      </c>
      <c r="E19" s="6" t="str">
        <f aca="false">IF(ISNUMBER(FIND("NEGATIVE",C19)),"Negative","Standard")</f>
        <v>Standard</v>
      </c>
      <c r="F19" s="7" t="s">
        <v>419</v>
      </c>
      <c r="G19" s="7" t="s">
        <v>420</v>
      </c>
      <c r="H19" s="7" t="s">
        <v>428</v>
      </c>
      <c r="I19" s="8"/>
      <c r="J19" s="8"/>
      <c r="K19" s="7" t="s">
        <v>422</v>
      </c>
    </row>
    <row r="20" customFormat="false" ht="15" hidden="false" customHeight="true" outlineLevel="0" collapsed="false">
      <c r="A20" s="6" t="n">
        <f aca="false">ROW(Sheet1!A20)</f>
        <v>20</v>
      </c>
      <c r="B20" s="6" t="str">
        <f aca="false">Sheet1!A20</f>
        <v>Geographic distribution of stores</v>
      </c>
      <c r="C20" s="6" t="str">
        <f aca="false">MID(Sheet1!D20,2,FIND("]",Sheet1!D20)-2)</f>
        <v>NEED</v>
      </c>
      <c r="D20" s="6" t="str">
        <f aca="false">IF(ISNUMBER(FIND("CONTEXT",C20)),"CONTEXT",IF(ISNUMBER(FIND("BOTH",C20)),"BOTH",IF(ISNUMBER(FIND("READINESS",C20)),"READINESS","NEED")))</f>
        <v>NEED</v>
      </c>
      <c r="E20" s="6" t="str">
        <f aca="false">IF(ISNUMBER(FIND("NEGATIVE",C20)),"Negative","Standard")</f>
        <v>Standard</v>
      </c>
      <c r="F20" s="7" t="s">
        <v>419</v>
      </c>
      <c r="G20" s="7" t="s">
        <v>424</v>
      </c>
      <c r="H20" s="7" t="s">
        <v>428</v>
      </c>
      <c r="I20" s="8"/>
      <c r="J20" s="8"/>
      <c r="K20" s="7" t="s">
        <v>422</v>
      </c>
    </row>
    <row r="21" customFormat="false" ht="15" hidden="false" customHeight="true" outlineLevel="0" collapsed="false">
      <c r="A21" s="6" t="n">
        <f aca="false">ROW(Sheet1!A21)</f>
        <v>21</v>
      </c>
      <c r="B21" s="6" t="str">
        <f aca="false">Sheet1!A21</f>
        <v>International Sales volume</v>
      </c>
      <c r="C21" s="6" t="str">
        <f aca="false">MID(Sheet1!D21,2,FIND("]",Sheet1!D21)-2)</f>
        <v>NEED</v>
      </c>
      <c r="D21" s="6" t="str">
        <f aca="false">IF(ISNUMBER(FIND("CONTEXT",C21)),"CONTEXT",IF(ISNUMBER(FIND("BOTH",C21)),"BOTH",IF(ISNUMBER(FIND("READINESS",C21)),"READINESS","NEED")))</f>
        <v>NEED</v>
      </c>
      <c r="E21" s="6" t="str">
        <f aca="false">IF(ISNUMBER(FIND("NEGATIVE",C21)),"Negative","Standard")</f>
        <v>Standard</v>
      </c>
      <c r="F21" s="7" t="s">
        <v>419</v>
      </c>
      <c r="G21" s="7" t="s">
        <v>424</v>
      </c>
      <c r="H21" s="7" t="s">
        <v>429</v>
      </c>
      <c r="I21" s="8"/>
      <c r="J21" s="8"/>
      <c r="K21" s="7" t="s">
        <v>422</v>
      </c>
    </row>
    <row r="22" customFormat="false" ht="15" hidden="false" customHeight="true" outlineLevel="0" collapsed="false">
      <c r="A22" s="6" t="n">
        <f aca="false">ROW(Sheet1!A22)</f>
        <v>22</v>
      </c>
      <c r="B22" s="6" t="str">
        <f aca="false">Sheet1!A22</f>
        <v>Years of international activity</v>
      </c>
      <c r="C22" s="6" t="str">
        <f aca="false">MID(Sheet1!D22,2,FIND("]",Sheet1!D22)-2)</f>
        <v>NEED</v>
      </c>
      <c r="D22" s="6" t="str">
        <f aca="false">IF(ISNUMBER(FIND("CONTEXT",C22)),"CONTEXT",IF(ISNUMBER(FIND("BOTH",C22)),"BOTH",IF(ISNUMBER(FIND("READINESS",C22)),"READINESS","NEED")))</f>
        <v>NEED</v>
      </c>
      <c r="E22" s="6" t="str">
        <f aca="false">IF(ISNUMBER(FIND("NEGATIVE",C22)),"Negative","Standard")</f>
        <v>Standard</v>
      </c>
      <c r="F22" s="7" t="s">
        <v>419</v>
      </c>
      <c r="G22" s="7" t="s">
        <v>425</v>
      </c>
      <c r="H22" s="7" t="s">
        <v>429</v>
      </c>
      <c r="I22" s="8"/>
      <c r="J22" s="8"/>
      <c r="K22" s="7" t="s">
        <v>422</v>
      </c>
    </row>
    <row r="23" customFormat="false" ht="15" hidden="false" customHeight="true" outlineLevel="0" collapsed="false">
      <c r="A23" s="6" t="n">
        <f aca="false">ROW(Sheet1!A23)</f>
        <v>23</v>
      </c>
      <c r="B23" s="6" t="str">
        <f aca="false">Sheet1!A23</f>
        <v>Product demand</v>
      </c>
      <c r="C23" s="6" t="str">
        <f aca="false">MID(Sheet1!D23,2,FIND("]",Sheet1!D23)-2)</f>
        <v>READINESS</v>
      </c>
      <c r="D23" s="6" t="str">
        <f aca="false">IF(ISNUMBER(FIND("CONTEXT",C23)),"CONTEXT",IF(ISNUMBER(FIND("BOTH",C23)),"BOTH",IF(ISNUMBER(FIND("READINESS",C23)),"READINESS","NEED")))</f>
        <v>READINESS</v>
      </c>
      <c r="E23" s="6" t="str">
        <f aca="false">IF(ISNUMBER(FIND("NEGATIVE",C23)),"Negative","Standard")</f>
        <v>Standard</v>
      </c>
      <c r="F23" s="7" t="s">
        <v>419</v>
      </c>
      <c r="G23" s="7" t="s">
        <v>425</v>
      </c>
      <c r="H23" s="4"/>
      <c r="I23" s="8"/>
      <c r="J23" s="8"/>
      <c r="K23" s="7" t="s">
        <v>422</v>
      </c>
    </row>
    <row r="24" customFormat="false" ht="15" hidden="false" customHeight="true" outlineLevel="0" collapsed="false">
      <c r="A24" s="6" t="n">
        <f aca="false">ROW(Sheet1!A24)</f>
        <v>24</v>
      </c>
      <c r="B24" s="6" t="str">
        <f aca="false">Sheet1!A24</f>
        <v>Product differentiation</v>
      </c>
      <c r="C24" s="6" t="str">
        <f aca="false">MID(Sheet1!D24,2,FIND("]",Sheet1!D24)-2)</f>
        <v>NEED</v>
      </c>
      <c r="D24" s="6" t="str">
        <f aca="false">IF(ISNUMBER(FIND("CONTEXT",C24)),"CONTEXT",IF(ISNUMBER(FIND("BOTH",C24)),"BOTH",IF(ISNUMBER(FIND("READINESS",C24)),"READINESS","NEED")))</f>
        <v>NEED</v>
      </c>
      <c r="E24" s="6" t="str">
        <f aca="false">IF(ISNUMBER(FIND("NEGATIVE",C24)),"Negative","Standard")</f>
        <v>Standard</v>
      </c>
      <c r="F24" s="7" t="s">
        <v>419</v>
      </c>
      <c r="G24" s="7" t="s">
        <v>425</v>
      </c>
      <c r="H24" s="4"/>
      <c r="I24" s="8"/>
      <c r="J24" s="8"/>
      <c r="K24" s="7" t="s">
        <v>422</v>
      </c>
    </row>
    <row r="25" customFormat="false" ht="15" hidden="false" customHeight="true" outlineLevel="0" collapsed="false">
      <c r="A25" s="6" t="n">
        <f aca="false">ROW(Sheet1!A25)</f>
        <v>25</v>
      </c>
      <c r="B25" s="6" t="str">
        <f aca="false">Sheet1!A25</f>
        <v>Product portfolio diversity</v>
      </c>
      <c r="C25" s="6" t="str">
        <f aca="false">MID(Sheet1!D25,2,FIND("]",Sheet1!D25)-2)</f>
        <v>NEED</v>
      </c>
      <c r="D25" s="6" t="str">
        <f aca="false">IF(ISNUMBER(FIND("CONTEXT",C25)),"CONTEXT",IF(ISNUMBER(FIND("BOTH",C25)),"BOTH",IF(ISNUMBER(FIND("READINESS",C25)),"READINESS","NEED")))</f>
        <v>NEED</v>
      </c>
      <c r="E25" s="6" t="str">
        <f aca="false">IF(ISNUMBER(FIND("NEGATIVE",C25)),"Negative","Standard")</f>
        <v>Standard</v>
      </c>
      <c r="F25" s="7" t="s">
        <v>419</v>
      </c>
      <c r="G25" s="7" t="s">
        <v>420</v>
      </c>
      <c r="H25" s="4"/>
      <c r="I25" s="8"/>
      <c r="J25" s="8"/>
      <c r="K25" s="7" t="s">
        <v>422</v>
      </c>
    </row>
    <row r="26" customFormat="false" ht="15" hidden="false" customHeight="true" outlineLevel="0" collapsed="false">
      <c r="A26" s="6" t="n">
        <f aca="false">ROW(Sheet1!A26)</f>
        <v>26</v>
      </c>
      <c r="B26" s="6" t="str">
        <f aca="false">Sheet1!A26</f>
        <v>Rarity of raw materials</v>
      </c>
      <c r="C26" s="6" t="str">
        <f aca="false">MID(Sheet1!D26,2,FIND("]",Sheet1!D26)-2)</f>
        <v>NEED</v>
      </c>
      <c r="D26" s="6" t="str">
        <f aca="false">IF(ISNUMBER(FIND("CONTEXT",C26)),"CONTEXT",IF(ISNUMBER(FIND("BOTH",C26)),"BOTH",IF(ISNUMBER(FIND("READINESS",C26)),"READINESS","NEED")))</f>
        <v>NEED</v>
      </c>
      <c r="E26" s="6" t="str">
        <f aca="false">IF(ISNUMBER(FIND("NEGATIVE",C26)),"Negative","Standard")</f>
        <v>Standard</v>
      </c>
      <c r="F26" s="7" t="s">
        <v>419</v>
      </c>
      <c r="G26" s="7" t="s">
        <v>425</v>
      </c>
      <c r="H26" s="4"/>
      <c r="I26" s="8"/>
      <c r="J26" s="8"/>
      <c r="K26" s="7" t="s">
        <v>422</v>
      </c>
    </row>
    <row r="27" customFormat="false" ht="15" hidden="false" customHeight="true" outlineLevel="0" collapsed="false">
      <c r="A27" s="6" t="n">
        <f aca="false">ROW(Sheet1!A27)</f>
        <v>27</v>
      </c>
      <c r="B27" s="6" t="str">
        <f aca="false">Sheet1!A27</f>
        <v>Cost of raw materials</v>
      </c>
      <c r="C27" s="6" t="str">
        <f aca="false">MID(Sheet1!D27,2,FIND("]",Sheet1!D27)-2)</f>
        <v>NEED</v>
      </c>
      <c r="D27" s="6" t="str">
        <f aca="false">IF(ISNUMBER(FIND("CONTEXT",C27)),"CONTEXT",IF(ISNUMBER(FIND("BOTH",C27)),"BOTH",IF(ISNUMBER(FIND("READINESS",C27)),"READINESS","NEED")))</f>
        <v>NEED</v>
      </c>
      <c r="E27" s="6" t="str">
        <f aca="false">IF(ISNUMBER(FIND("NEGATIVE",C27)),"Negative","Standard")</f>
        <v>Standard</v>
      </c>
      <c r="F27" s="7" t="s">
        <v>419</v>
      </c>
      <c r="G27" s="7" t="s">
        <v>424</v>
      </c>
      <c r="H27" s="4"/>
      <c r="I27" s="8"/>
      <c r="J27" s="8"/>
      <c r="K27" s="7" t="s">
        <v>422</v>
      </c>
    </row>
    <row r="28" customFormat="false" ht="15" hidden="false" customHeight="true" outlineLevel="0" collapsed="false">
      <c r="A28" s="6" t="n">
        <f aca="false">ROW(Sheet1!A28)</f>
        <v>28</v>
      </c>
      <c r="B28" s="6" t="str">
        <f aca="false">Sheet1!A28</f>
        <v>Innovativeness of product</v>
      </c>
      <c r="C28" s="6" t="str">
        <f aca="false">MID(Sheet1!D28,2,FIND("]",Sheet1!D28)-2)</f>
        <v>NEED</v>
      </c>
      <c r="D28" s="6" t="str">
        <f aca="false">IF(ISNUMBER(FIND("CONTEXT",C28)),"CONTEXT",IF(ISNUMBER(FIND("BOTH",C28)),"BOTH",IF(ISNUMBER(FIND("READINESS",C28)),"READINESS","NEED")))</f>
        <v>NEED</v>
      </c>
      <c r="E28" s="6" t="str">
        <f aca="false">IF(ISNUMBER(FIND("NEGATIVE",C28)),"Negative","Standard")</f>
        <v>Standard</v>
      </c>
      <c r="F28" s="7" t="s">
        <v>419</v>
      </c>
      <c r="G28" s="7" t="s">
        <v>425</v>
      </c>
      <c r="H28" s="4"/>
      <c r="I28" s="8"/>
      <c r="J28" s="8"/>
      <c r="K28" s="7" t="s">
        <v>422</v>
      </c>
    </row>
    <row r="29" customFormat="false" ht="15" hidden="false" customHeight="true" outlineLevel="0" collapsed="false">
      <c r="A29" s="6" t="n">
        <f aca="false">ROW(Sheet1!A29)</f>
        <v>29</v>
      </c>
      <c r="B29" s="6" t="str">
        <f aca="false">Sheet1!A29</f>
        <v>Quality of product</v>
      </c>
      <c r="C29" s="6" t="str">
        <f aca="false">MID(Sheet1!D29,2,FIND("]",Sheet1!D29)-2)</f>
        <v>NEED</v>
      </c>
      <c r="D29" s="6" t="str">
        <f aca="false">IF(ISNUMBER(FIND("CONTEXT",C29)),"CONTEXT",IF(ISNUMBER(FIND("BOTH",C29)),"BOTH",IF(ISNUMBER(FIND("READINESS",C29)),"READINESS","NEED")))</f>
        <v>NEED</v>
      </c>
      <c r="E29" s="6" t="str">
        <f aca="false">IF(ISNUMBER(FIND("NEGATIVE",C29)),"Negative","Standard")</f>
        <v>Standard</v>
      </c>
      <c r="F29" s="7" t="s">
        <v>419</v>
      </c>
      <c r="G29" s="7" t="s">
        <v>420</v>
      </c>
      <c r="H29" s="7" t="s">
        <v>430</v>
      </c>
      <c r="I29" s="8"/>
      <c r="J29" s="8"/>
      <c r="K29" s="7" t="s">
        <v>422</v>
      </c>
    </row>
    <row r="30" customFormat="false" ht="15" hidden="false" customHeight="true" outlineLevel="0" collapsed="false">
      <c r="A30" s="6" t="n">
        <f aca="false">ROW(Sheet1!A30)</f>
        <v>30</v>
      </c>
      <c r="B30" s="6" t="str">
        <f aca="false">Sheet1!A30</f>
        <v>Type of product</v>
      </c>
      <c r="C30" s="6" t="str">
        <f aca="false">MID(Sheet1!D30,2,FIND("]",Sheet1!D30)-2)</f>
        <v>CONTEXT</v>
      </c>
      <c r="D30" s="6" t="str">
        <f aca="false">IF(ISNUMBER(FIND("CONTEXT",C30)),"CONTEXT",IF(ISNUMBER(FIND("BOTH",C30)),"BOTH",IF(ISNUMBER(FIND("READINESS",C30)),"READINESS","NEED")))</f>
        <v>CONTEXT</v>
      </c>
      <c r="E30" s="6" t="str">
        <f aca="false">IF(ISNUMBER(FIND("NEGATIVE",C30)),"Negative","Standard")</f>
        <v>Standard</v>
      </c>
      <c r="F30" s="7" t="s">
        <v>431</v>
      </c>
      <c r="G30" s="7" t="s">
        <v>420</v>
      </c>
      <c r="H30" s="4"/>
      <c r="I30" s="8"/>
      <c r="J30" s="8"/>
      <c r="K30" s="7" t="s">
        <v>422</v>
      </c>
    </row>
    <row r="31" customFormat="false" ht="15" hidden="false" customHeight="true" outlineLevel="0" collapsed="false">
      <c r="A31" s="6" t="n">
        <f aca="false">ROW(Sheet1!A31)</f>
        <v>31</v>
      </c>
      <c r="B31" s="6" t="str">
        <f aca="false">Sheet1!A31</f>
        <v>Product age</v>
      </c>
      <c r="C31" s="6" t="str">
        <f aca="false">MID(Sheet1!D31,2,FIND("]",Sheet1!D31)-2)</f>
        <v>NEED</v>
      </c>
      <c r="D31" s="6" t="str">
        <f aca="false">IF(ISNUMBER(FIND("CONTEXT",C31)),"CONTEXT",IF(ISNUMBER(FIND("BOTH",C31)),"BOTH",IF(ISNUMBER(FIND("READINESS",C31)),"READINESS","NEED")))</f>
        <v>NEED</v>
      </c>
      <c r="E31" s="6" t="str">
        <f aca="false">IF(ISNUMBER(FIND("NEGATIVE",C31)),"Negative","Standard")</f>
        <v>Standard</v>
      </c>
      <c r="F31" s="7" t="s">
        <v>419</v>
      </c>
      <c r="G31" s="7" t="s">
        <v>425</v>
      </c>
      <c r="H31" s="4"/>
      <c r="I31" s="8"/>
      <c r="J31" s="8"/>
      <c r="K31" s="7" t="s">
        <v>422</v>
      </c>
    </row>
    <row r="32" customFormat="false" ht="15" hidden="false" customHeight="true" outlineLevel="0" collapsed="false">
      <c r="A32" s="6" t="n">
        <f aca="false">ROW(Sheet1!A32)</f>
        <v>32</v>
      </c>
      <c r="B32" s="6" t="str">
        <f aca="false">Sheet1!A32</f>
        <v>Difficulty of logistics</v>
      </c>
      <c r="C32" s="6" t="str">
        <f aca="false">MID(Sheet1!D32,2,FIND("]",Sheet1!D32)-2)</f>
        <v>NEED</v>
      </c>
      <c r="D32" s="6" t="str">
        <f aca="false">IF(ISNUMBER(FIND("CONTEXT",C32)),"CONTEXT",IF(ISNUMBER(FIND("BOTH",C32)),"BOTH",IF(ISNUMBER(FIND("READINESS",C32)),"READINESS","NEED")))</f>
        <v>NEED</v>
      </c>
      <c r="E32" s="6" t="str">
        <f aca="false">IF(ISNUMBER(FIND("NEGATIVE",C32)),"Negative","Standard")</f>
        <v>Standard</v>
      </c>
      <c r="F32" s="7" t="s">
        <v>419</v>
      </c>
      <c r="G32" s="7" t="s">
        <v>426</v>
      </c>
      <c r="H32" s="4"/>
      <c r="I32" s="8"/>
      <c r="J32" s="8"/>
      <c r="K32" s="7" t="s">
        <v>422</v>
      </c>
    </row>
    <row r="33" customFormat="false" ht="15" hidden="false" customHeight="true" outlineLevel="0" collapsed="false">
      <c r="A33" s="6" t="n">
        <f aca="false">ROW(Sheet1!A33)</f>
        <v>33</v>
      </c>
      <c r="B33" s="6" t="str">
        <f aca="false">Sheet1!A33</f>
        <v>EBIT</v>
      </c>
      <c r="C33" s="6" t="str">
        <f aca="false">MID(Sheet1!D33,2,FIND("]",Sheet1!D33)-2)</f>
        <v>NEED</v>
      </c>
      <c r="D33" s="6" t="str">
        <f aca="false">IF(ISNUMBER(FIND("CONTEXT",C33)),"CONTEXT",IF(ISNUMBER(FIND("BOTH",C33)),"BOTH",IF(ISNUMBER(FIND("READINESS",C33)),"READINESS","NEED")))</f>
        <v>NEED</v>
      </c>
      <c r="E33" s="6" t="str">
        <f aca="false">IF(ISNUMBER(FIND("NEGATIVE",C33)),"Negative","Standard")</f>
        <v>Standard</v>
      </c>
      <c r="F33" s="7" t="s">
        <v>419</v>
      </c>
      <c r="G33" s="7" t="s">
        <v>424</v>
      </c>
      <c r="H33" s="7" t="s">
        <v>432</v>
      </c>
      <c r="I33" s="8"/>
      <c r="J33" s="8"/>
      <c r="K33" s="7" t="s">
        <v>422</v>
      </c>
    </row>
    <row r="34" customFormat="false" ht="15" hidden="false" customHeight="true" outlineLevel="0" collapsed="false">
      <c r="A34" s="6" t="n">
        <f aca="false">ROW(Sheet1!A34)</f>
        <v>34</v>
      </c>
      <c r="B34" s="6" t="str">
        <f aca="false">Sheet1!A34</f>
        <v>Gross Margin</v>
      </c>
      <c r="C34" s="6" t="str">
        <f aca="false">MID(Sheet1!D34,2,FIND("]",Sheet1!D34)-2)</f>
        <v>NEED</v>
      </c>
      <c r="D34" s="6" t="str">
        <f aca="false">IF(ISNUMBER(FIND("CONTEXT",C34)),"CONTEXT",IF(ISNUMBER(FIND("BOTH",C34)),"BOTH",IF(ISNUMBER(FIND("READINESS",C34)),"READINESS","NEED")))</f>
        <v>NEED</v>
      </c>
      <c r="E34" s="6" t="str">
        <f aca="false">IF(ISNUMBER(FIND("NEGATIVE",C34)),"Negative","Standard")</f>
        <v>Standard</v>
      </c>
      <c r="F34" s="7" t="s">
        <v>419</v>
      </c>
      <c r="G34" s="7" t="s">
        <v>424</v>
      </c>
      <c r="H34" s="7" t="s">
        <v>432</v>
      </c>
      <c r="I34" s="8"/>
      <c r="J34" s="8"/>
      <c r="K34" s="7" t="s">
        <v>422</v>
      </c>
    </row>
    <row r="35" customFormat="false" ht="15" hidden="false" customHeight="true" outlineLevel="0" collapsed="false">
      <c r="A35" s="6" t="n">
        <f aca="false">ROW(Sheet1!A35)</f>
        <v>35</v>
      </c>
      <c r="B35" s="6" t="str">
        <f aca="false">Sheet1!A35</f>
        <v>Revenues</v>
      </c>
      <c r="C35" s="6" t="str">
        <f aca="false">MID(Sheet1!D35,2,FIND("]",Sheet1!D35)-2)</f>
        <v>NEED</v>
      </c>
      <c r="D35" s="6" t="str">
        <f aca="false">IF(ISNUMBER(FIND("CONTEXT",C35)),"CONTEXT",IF(ISNUMBER(FIND("BOTH",C35)),"BOTH",IF(ISNUMBER(FIND("READINESS",C35)),"READINESS","NEED")))</f>
        <v>NEED</v>
      </c>
      <c r="E35" s="6" t="str">
        <f aca="false">IF(ISNUMBER(FIND("NEGATIVE",C35)),"Negative","Standard")</f>
        <v>Standard</v>
      </c>
      <c r="F35" s="7" t="s">
        <v>419</v>
      </c>
      <c r="G35" s="7" t="s">
        <v>424</v>
      </c>
      <c r="H35" s="7" t="s">
        <v>432</v>
      </c>
      <c r="I35" s="8"/>
      <c r="J35" s="8"/>
      <c r="K35" s="7" t="s">
        <v>422</v>
      </c>
    </row>
    <row r="36" customFormat="false" ht="15" hidden="false" customHeight="true" outlineLevel="0" collapsed="false">
      <c r="A36" s="6" t="n">
        <f aca="false">ROW(Sheet1!A36)</f>
        <v>36</v>
      </c>
      <c r="B36" s="6" t="str">
        <f aca="false">Sheet1!A36</f>
        <v>Interest Coverage Ratio</v>
      </c>
      <c r="C36" s="6" t="str">
        <f aca="false">MID(Sheet1!D36,2,FIND("]",Sheet1!D36)-2)</f>
        <v>NEED</v>
      </c>
      <c r="D36" s="6" t="str">
        <f aca="false">IF(ISNUMBER(FIND("CONTEXT",C36)),"CONTEXT",IF(ISNUMBER(FIND("BOTH",C36)),"BOTH",IF(ISNUMBER(FIND("READINESS",C36)),"READINESS","NEED")))</f>
        <v>NEED</v>
      </c>
      <c r="E36" s="6" t="str">
        <f aca="false">IF(ISNUMBER(FIND("NEGATIVE",C36)),"Negative","Standard")</f>
        <v>Standard</v>
      </c>
      <c r="F36" s="7" t="s">
        <v>419</v>
      </c>
      <c r="G36" s="7" t="s">
        <v>424</v>
      </c>
      <c r="H36" s="7" t="s">
        <v>433</v>
      </c>
      <c r="I36" s="8"/>
      <c r="J36" s="8"/>
      <c r="K36" s="7" t="s">
        <v>422</v>
      </c>
    </row>
    <row r="37" customFormat="false" ht="15" hidden="false" customHeight="true" outlineLevel="0" collapsed="false">
      <c r="A37" s="6" t="n">
        <f aca="false">ROW(Sheet1!A37)</f>
        <v>37</v>
      </c>
      <c r="B37" s="6" t="str">
        <f aca="false">Sheet1!A37</f>
        <v>Materials Cost</v>
      </c>
      <c r="C37" s="6" t="str">
        <f aca="false">MID(Sheet1!D37,2,FIND("]",Sheet1!D37)-2)</f>
        <v>NEED</v>
      </c>
      <c r="D37" s="6" t="str">
        <f aca="false">IF(ISNUMBER(FIND("CONTEXT",C37)),"CONTEXT",IF(ISNUMBER(FIND("BOTH",C37)),"BOTH",IF(ISNUMBER(FIND("READINESS",C37)),"READINESS","NEED")))</f>
        <v>NEED</v>
      </c>
      <c r="E37" s="6" t="str">
        <f aca="false">IF(ISNUMBER(FIND("NEGATIVE",C37)),"Negative","Standard")</f>
        <v>Standard</v>
      </c>
      <c r="F37" s="7" t="s">
        <v>419</v>
      </c>
      <c r="G37" s="7" t="s">
        <v>424</v>
      </c>
      <c r="H37" s="7" t="s">
        <v>434</v>
      </c>
      <c r="I37" s="8"/>
      <c r="J37" s="8"/>
      <c r="K37" s="7" t="s">
        <v>422</v>
      </c>
    </row>
    <row r="38" customFormat="false" ht="15" hidden="false" customHeight="true" outlineLevel="0" collapsed="false">
      <c r="A38" s="6" t="n">
        <f aca="false">ROW(Sheet1!A38)</f>
        <v>38</v>
      </c>
      <c r="B38" s="6" t="str">
        <f aca="false">Sheet1!A38</f>
        <v>Labour Cost</v>
      </c>
      <c r="C38" s="6" t="str">
        <f aca="false">MID(Sheet1!D38,2,FIND("]",Sheet1!D38)-2)</f>
        <v>NEED</v>
      </c>
      <c r="D38" s="6" t="str">
        <f aca="false">IF(ISNUMBER(FIND("CONTEXT",C38)),"CONTEXT",IF(ISNUMBER(FIND("BOTH",C38)),"BOTH",IF(ISNUMBER(FIND("READINESS",C38)),"READINESS","NEED")))</f>
        <v>NEED</v>
      </c>
      <c r="E38" s="6" t="str">
        <f aca="false">IF(ISNUMBER(FIND("NEGATIVE",C38)),"Negative","Standard")</f>
        <v>Standard</v>
      </c>
      <c r="F38" s="7" t="s">
        <v>419</v>
      </c>
      <c r="G38" s="7" t="s">
        <v>424</v>
      </c>
      <c r="H38" s="7" t="s">
        <v>434</v>
      </c>
      <c r="I38" s="8"/>
      <c r="J38" s="8"/>
      <c r="K38" s="7" t="s">
        <v>422</v>
      </c>
    </row>
    <row r="39" customFormat="false" ht="15" hidden="false" customHeight="true" outlineLevel="0" collapsed="false">
      <c r="A39" s="6" t="n">
        <f aca="false">ROW(Sheet1!A39)</f>
        <v>39</v>
      </c>
      <c r="B39" s="6" t="str">
        <f aca="false">Sheet1!A39</f>
        <v>Logistics Costs</v>
      </c>
      <c r="C39" s="6" t="str">
        <f aca="false">MID(Sheet1!D39,2,FIND("]",Sheet1!D39)-2)</f>
        <v>NEED</v>
      </c>
      <c r="D39" s="6" t="str">
        <f aca="false">IF(ISNUMBER(FIND("CONTEXT",C39)),"CONTEXT",IF(ISNUMBER(FIND("BOTH",C39)),"BOTH",IF(ISNUMBER(FIND("READINESS",C39)),"READINESS","NEED")))</f>
        <v>NEED</v>
      </c>
      <c r="E39" s="6" t="str">
        <f aca="false">IF(ISNUMBER(FIND("NEGATIVE",C39)),"Negative","Standard")</f>
        <v>Standard</v>
      </c>
      <c r="F39" s="7" t="s">
        <v>419</v>
      </c>
      <c r="G39" s="7" t="s">
        <v>424</v>
      </c>
      <c r="H39" s="7" t="s">
        <v>434</v>
      </c>
      <c r="I39" s="8"/>
      <c r="J39" s="8"/>
      <c r="K39" s="7" t="s">
        <v>422</v>
      </c>
    </row>
    <row r="40" customFormat="false" ht="15" hidden="false" customHeight="true" outlineLevel="0" collapsed="false">
      <c r="A40" s="6" t="n">
        <f aca="false">ROW(Sheet1!A40)</f>
        <v>40</v>
      </c>
      <c r="B40" s="6" t="str">
        <f aca="false">Sheet1!A40</f>
        <v>Energy Costs</v>
      </c>
      <c r="C40" s="6" t="str">
        <f aca="false">MID(Sheet1!D40,2,FIND("]",Sheet1!D40)-2)</f>
        <v>NEED</v>
      </c>
      <c r="D40" s="6" t="str">
        <f aca="false">IF(ISNUMBER(FIND("CONTEXT",C40)),"CONTEXT",IF(ISNUMBER(FIND("BOTH",C40)),"BOTH",IF(ISNUMBER(FIND("READINESS",C40)),"READINESS","NEED")))</f>
        <v>NEED</v>
      </c>
      <c r="E40" s="6" t="str">
        <f aca="false">IF(ISNUMBER(FIND("NEGATIVE",C40)),"Negative","Standard")</f>
        <v>Standard</v>
      </c>
      <c r="F40" s="7" t="s">
        <v>419</v>
      </c>
      <c r="G40" s="7" t="s">
        <v>424</v>
      </c>
      <c r="H40" s="7" t="s">
        <v>434</v>
      </c>
      <c r="I40" s="8"/>
      <c r="J40" s="8"/>
      <c r="K40" s="7" t="s">
        <v>422</v>
      </c>
    </row>
    <row r="41" customFormat="false" ht="15" hidden="false" customHeight="true" outlineLevel="0" collapsed="false">
      <c r="A41" s="6" t="n">
        <f aca="false">ROW(Sheet1!A41)</f>
        <v>41</v>
      </c>
      <c r="B41" s="6" t="str">
        <f aca="false">Sheet1!A41</f>
        <v>COGS</v>
      </c>
      <c r="C41" s="6" t="str">
        <f aca="false">MID(Sheet1!D41,2,FIND("]",Sheet1!D41)-2)</f>
        <v>NEED</v>
      </c>
      <c r="D41" s="6" t="str">
        <f aca="false">IF(ISNUMBER(FIND("CONTEXT",C41)),"CONTEXT",IF(ISNUMBER(FIND("BOTH",C41)),"BOTH",IF(ISNUMBER(FIND("READINESS",C41)),"READINESS","NEED")))</f>
        <v>NEED</v>
      </c>
      <c r="E41" s="6" t="str">
        <f aca="false">IF(ISNUMBER(FIND("NEGATIVE",C41)),"Negative","Standard")</f>
        <v>Standard</v>
      </c>
      <c r="F41" s="7" t="s">
        <v>419</v>
      </c>
      <c r="G41" s="7" t="s">
        <v>424</v>
      </c>
      <c r="H41" s="7" t="s">
        <v>434</v>
      </c>
      <c r="I41" s="8"/>
      <c r="J41" s="8"/>
      <c r="K41" s="7" t="s">
        <v>422</v>
      </c>
    </row>
    <row r="42" customFormat="false" ht="15" hidden="false" customHeight="true" outlineLevel="0" collapsed="false">
      <c r="A42" s="6" t="n">
        <f aca="false">ROW(Sheet1!A42)</f>
        <v>42</v>
      </c>
      <c r="B42" s="6" t="str">
        <f aca="false">Sheet1!A42</f>
        <v>Service Costs</v>
      </c>
      <c r="C42" s="6" t="str">
        <f aca="false">MID(Sheet1!D42,2,FIND("]",Sheet1!D42)-2)</f>
        <v>NEED</v>
      </c>
      <c r="D42" s="6" t="str">
        <f aca="false">IF(ISNUMBER(FIND("CONTEXT",C42)),"CONTEXT",IF(ISNUMBER(FIND("BOTH",C42)),"BOTH",IF(ISNUMBER(FIND("READINESS",C42)),"READINESS","NEED")))</f>
        <v>NEED</v>
      </c>
      <c r="E42" s="6" t="str">
        <f aca="false">IF(ISNUMBER(FIND("NEGATIVE",C42)),"Negative","Standard")</f>
        <v>Standard</v>
      </c>
      <c r="F42" s="7" t="s">
        <v>419</v>
      </c>
      <c r="G42" s="7" t="s">
        <v>424</v>
      </c>
      <c r="H42" s="7" t="s">
        <v>434</v>
      </c>
      <c r="I42" s="8"/>
      <c r="J42" s="8"/>
      <c r="K42" s="7" t="s">
        <v>422</v>
      </c>
    </row>
    <row r="43" customFormat="false" ht="15" hidden="false" customHeight="true" outlineLevel="0" collapsed="false">
      <c r="A43" s="6" t="n">
        <f aca="false">ROW(Sheet1!A43)</f>
        <v>43</v>
      </c>
      <c r="B43" s="6" t="str">
        <f aca="false">Sheet1!A43</f>
        <v>R&amp;D Expenses</v>
      </c>
      <c r="C43" s="6" t="str">
        <f aca="false">MID(Sheet1!D43,2,FIND("]",Sheet1!D43)-2)</f>
        <v>READINESS-GAP / GG-FIT</v>
      </c>
      <c r="D43" s="6" t="str">
        <f aca="false">IF(ISNUMBER(FIND("CONTEXT",C43)),"CONTEXT",IF(ISNUMBER(FIND("BOTH",C43)),"BOTH",IF(ISNUMBER(FIND("READINESS",C43)),"READINESS","NEED")))</f>
        <v>READINESS</v>
      </c>
      <c r="E43" s="6" t="str">
        <f aca="false">IF(ISNUMBER(FIND("NEGATIVE",C43)),"Negative","Standard")</f>
        <v>Standard</v>
      </c>
      <c r="F43" s="7" t="s">
        <v>419</v>
      </c>
      <c r="G43" s="7" t="s">
        <v>424</v>
      </c>
      <c r="H43" s="7" t="s">
        <v>435</v>
      </c>
      <c r="I43" s="8"/>
      <c r="J43" s="8"/>
      <c r="K43" s="7" t="s">
        <v>422</v>
      </c>
    </row>
    <row r="44" customFormat="false" ht="15" hidden="false" customHeight="true" outlineLevel="0" collapsed="false">
      <c r="A44" s="6" t="n">
        <f aca="false">ROW(Sheet1!A44)</f>
        <v>44</v>
      </c>
      <c r="B44" s="6" t="str">
        <f aca="false">Sheet1!A44</f>
        <v>Patents</v>
      </c>
      <c r="C44" s="6" t="str">
        <f aca="false">MID(Sheet1!D44,2,FIND("]",Sheet1!D44)-2)</f>
        <v>READINESS-GAP / GG-FIT</v>
      </c>
      <c r="D44" s="6" t="str">
        <f aca="false">IF(ISNUMBER(FIND("CONTEXT",C44)),"CONTEXT",IF(ISNUMBER(FIND("BOTH",C44)),"BOTH",IF(ISNUMBER(FIND("READINESS",C44)),"READINESS","NEED")))</f>
        <v>READINESS</v>
      </c>
      <c r="E44" s="6" t="str">
        <f aca="false">IF(ISNUMBER(FIND("NEGATIVE",C44)),"Negative","Standard")</f>
        <v>Standard</v>
      </c>
      <c r="F44" s="7" t="s">
        <v>419</v>
      </c>
      <c r="G44" s="7" t="s">
        <v>424</v>
      </c>
      <c r="H44" s="7" t="s">
        <v>435</v>
      </c>
      <c r="I44" s="8"/>
      <c r="J44" s="8"/>
      <c r="K44" s="7" t="s">
        <v>422</v>
      </c>
    </row>
    <row r="45" customFormat="false" ht="15" hidden="false" customHeight="true" outlineLevel="0" collapsed="false">
      <c r="A45" s="6" t="n">
        <f aca="false">ROW(Sheet1!A45)</f>
        <v>45</v>
      </c>
      <c r="B45" s="6" t="str">
        <f aca="false">Sheet1!A45</f>
        <v>Trademarks</v>
      </c>
      <c r="C45" s="6" t="str">
        <f aca="false">MID(Sheet1!D45,2,FIND("]",Sheet1!D45)-2)</f>
        <v>READINESS</v>
      </c>
      <c r="D45" s="6" t="str">
        <f aca="false">IF(ISNUMBER(FIND("CONTEXT",C45)),"CONTEXT",IF(ISNUMBER(FIND("BOTH",C45)),"BOTH",IF(ISNUMBER(FIND("READINESS",C45)),"READINESS","NEED")))</f>
        <v>READINESS</v>
      </c>
      <c r="E45" s="6" t="str">
        <f aca="false">IF(ISNUMBER(FIND("NEGATIVE",C45)),"Negative","Standard")</f>
        <v>Standard</v>
      </c>
      <c r="F45" s="7" t="s">
        <v>419</v>
      </c>
      <c r="G45" s="7" t="s">
        <v>424</v>
      </c>
      <c r="H45" s="7" t="s">
        <v>435</v>
      </c>
      <c r="I45" s="8"/>
      <c r="J45" s="8"/>
      <c r="K45" s="7" t="s">
        <v>422</v>
      </c>
    </row>
    <row r="46" customFormat="false" ht="15" hidden="false" customHeight="true" outlineLevel="0" collapsed="false">
      <c r="A46" s="6" t="n">
        <f aca="false">ROW(Sheet1!A46)</f>
        <v>46</v>
      </c>
      <c r="B46" s="6" t="str">
        <f aca="false">Sheet1!A46</f>
        <v>Participations in subsidiaries</v>
      </c>
      <c r="C46" s="6" t="str">
        <f aca="false">MID(Sheet1!D46,2,FIND("]",Sheet1!D46)-2)</f>
        <v>READINESS</v>
      </c>
      <c r="D46" s="6" t="str">
        <f aca="false">IF(ISNUMBER(FIND("CONTEXT",C46)),"CONTEXT",IF(ISNUMBER(FIND("BOTH",C46)),"BOTH",IF(ISNUMBER(FIND("READINESS",C46)),"READINESS","NEED")))</f>
        <v>READINESS</v>
      </c>
      <c r="E46" s="6" t="str">
        <f aca="false">IF(ISNUMBER(FIND("NEGATIVE",C46)),"Negative","Standard")</f>
        <v>Standard</v>
      </c>
      <c r="F46" s="7" t="s">
        <v>419</v>
      </c>
      <c r="G46" s="7" t="s">
        <v>424</v>
      </c>
      <c r="H46" s="4"/>
      <c r="I46" s="8"/>
      <c r="J46" s="8"/>
      <c r="K46" s="7" t="s">
        <v>422</v>
      </c>
    </row>
    <row r="47" customFormat="false" ht="15" hidden="false" customHeight="true" outlineLevel="0" collapsed="false">
      <c r="A47" s="6" t="n">
        <f aca="false">ROW(Sheet1!A47)</f>
        <v>47</v>
      </c>
      <c r="B47" s="6" t="str">
        <f aca="false">Sheet1!A47</f>
        <v>CapEx</v>
      </c>
      <c r="C47" s="6" t="str">
        <f aca="false">MID(Sheet1!D47,2,FIND("]",Sheet1!D47)-2)</f>
        <v>NEED</v>
      </c>
      <c r="D47" s="6" t="str">
        <f aca="false">IF(ISNUMBER(FIND("CONTEXT",C47)),"CONTEXT",IF(ISNUMBER(FIND("BOTH",C47)),"BOTH",IF(ISNUMBER(FIND("READINESS",C47)),"READINESS","NEED")))</f>
        <v>NEED</v>
      </c>
      <c r="E47" s="6" t="str">
        <f aca="false">IF(ISNUMBER(FIND("NEGATIVE",C47)),"Negative","Standard")</f>
        <v>Standard</v>
      </c>
      <c r="F47" s="7" t="s">
        <v>419</v>
      </c>
      <c r="G47" s="7" t="s">
        <v>424</v>
      </c>
      <c r="H47" s="4"/>
      <c r="I47" s="8"/>
      <c r="J47" s="8"/>
      <c r="K47" s="7" t="s">
        <v>422</v>
      </c>
    </row>
    <row r="48" customFormat="false" ht="15" hidden="false" customHeight="true" outlineLevel="0" collapsed="false">
      <c r="A48" s="6" t="n">
        <f aca="false">ROW(Sheet1!A48)</f>
        <v>48</v>
      </c>
      <c r="B48" s="6" t="str">
        <f aca="false">Sheet1!A48</f>
        <v>Total Assets</v>
      </c>
      <c r="C48" s="6" t="str">
        <f aca="false">MID(Sheet1!D48,2,FIND("]",Sheet1!D48)-2)</f>
        <v>READINESS</v>
      </c>
      <c r="D48" s="6" t="str">
        <f aca="false">IF(ISNUMBER(FIND("CONTEXT",C48)),"CONTEXT",IF(ISNUMBER(FIND("BOTH",C48)),"BOTH",IF(ISNUMBER(FIND("READINESS",C48)),"READINESS","NEED")))</f>
        <v>READINESS</v>
      </c>
      <c r="E48" s="6" t="str">
        <f aca="false">IF(ISNUMBER(FIND("NEGATIVE",C48)),"Negative","Standard")</f>
        <v>Standard</v>
      </c>
      <c r="F48" s="7" t="s">
        <v>419</v>
      </c>
      <c r="G48" s="7" t="s">
        <v>424</v>
      </c>
      <c r="H48" s="4"/>
      <c r="I48" s="8"/>
      <c r="J48" s="8"/>
      <c r="K48" s="7" t="s">
        <v>422</v>
      </c>
    </row>
    <row r="49" customFormat="false" ht="15" hidden="false" customHeight="true" outlineLevel="0" collapsed="false">
      <c r="A49" s="6" t="n">
        <f aca="false">ROW(Sheet1!A49)</f>
        <v>49</v>
      </c>
      <c r="B49" s="6" t="str">
        <f aca="false">Sheet1!A49</f>
        <v>Cash</v>
      </c>
      <c r="C49" s="6" t="str">
        <f aca="false">MID(Sheet1!D49,2,FIND("]",Sheet1!D49)-2)</f>
        <v>READINESS - NEGATIVE</v>
      </c>
      <c r="D49" s="6" t="str">
        <f aca="false">IF(ISNUMBER(FIND("CONTEXT",C49)),"CONTEXT",IF(ISNUMBER(FIND("BOTH",C49)),"BOTH",IF(ISNUMBER(FIND("READINESS",C49)),"READINESS","NEED")))</f>
        <v>READINESS</v>
      </c>
      <c r="E49" s="6" t="str">
        <f aca="false">IF(ISNUMBER(FIND("NEGATIVE",C49)),"Negative","Standard")</f>
        <v>Negative</v>
      </c>
      <c r="F49" s="7" t="s">
        <v>419</v>
      </c>
      <c r="G49" s="7" t="s">
        <v>424</v>
      </c>
      <c r="H49" s="7" t="s">
        <v>433</v>
      </c>
      <c r="I49" s="8"/>
      <c r="J49" s="8"/>
      <c r="K49" s="7" t="s">
        <v>422</v>
      </c>
    </row>
    <row r="50" customFormat="false" ht="15" hidden="false" customHeight="true" outlineLevel="0" collapsed="false">
      <c r="A50" s="6" t="n">
        <f aca="false">ROW(Sheet1!A50)</f>
        <v>50</v>
      </c>
      <c r="B50" s="6" t="str">
        <f aca="false">Sheet1!A50</f>
        <v>Debt</v>
      </c>
      <c r="C50" s="6" t="str">
        <f aca="false">MID(Sheet1!D50,2,FIND("]",Sheet1!D50)-2)</f>
        <v>NEED, readiness caveat</v>
      </c>
      <c r="D50" s="6" t="str">
        <f aca="false">IF(ISNUMBER(FIND("CONTEXT",C50)),"CONTEXT",IF(ISNUMBER(FIND("BOTH",C50)),"BOTH",IF(ISNUMBER(FIND("READINESS",C50)),"READINESS","NEED")))</f>
        <v>NEED</v>
      </c>
      <c r="E50" s="6" t="str">
        <f aca="false">IF(ISNUMBER(FIND("NEGATIVE",C50)),"Negative","Standard")</f>
        <v>Standard</v>
      </c>
      <c r="F50" s="7" t="s">
        <v>419</v>
      </c>
      <c r="G50" s="7" t="s">
        <v>424</v>
      </c>
      <c r="H50" s="7" t="s">
        <v>433</v>
      </c>
      <c r="I50" s="8"/>
      <c r="J50" s="8"/>
      <c r="K50" s="7" t="s">
        <v>422</v>
      </c>
    </row>
    <row r="51" customFormat="false" ht="15" hidden="false" customHeight="true" outlineLevel="0" collapsed="false">
      <c r="A51" s="6" t="n">
        <f aca="false">ROW(Sheet1!A51)</f>
        <v>51</v>
      </c>
      <c r="B51" s="6" t="str">
        <f aca="false">Sheet1!A51</f>
        <v>Leverage</v>
      </c>
      <c r="C51" s="6" t="str">
        <f aca="false">MID(Sheet1!D51,2,FIND("]",Sheet1!D51)-2)</f>
        <v>NEED, readiness caveat</v>
      </c>
      <c r="D51" s="6" t="str">
        <f aca="false">IF(ISNUMBER(FIND("CONTEXT",C51)),"CONTEXT",IF(ISNUMBER(FIND("BOTH",C51)),"BOTH",IF(ISNUMBER(FIND("READINESS",C51)),"READINESS","NEED")))</f>
        <v>NEED</v>
      </c>
      <c r="E51" s="6" t="str">
        <f aca="false">IF(ISNUMBER(FIND("NEGATIVE",C51)),"Negative","Standard")</f>
        <v>Standard</v>
      </c>
      <c r="F51" s="7" t="s">
        <v>419</v>
      </c>
      <c r="G51" s="7" t="s">
        <v>424</v>
      </c>
      <c r="H51" s="7" t="s">
        <v>433</v>
      </c>
      <c r="I51" s="8"/>
      <c r="J51" s="8"/>
      <c r="K51" s="7" t="s">
        <v>422</v>
      </c>
    </row>
    <row r="52" customFormat="false" ht="15" hidden="false" customHeight="true" outlineLevel="0" collapsed="false">
      <c r="A52" s="6" t="n">
        <f aca="false">ROW(Sheet1!A52)</f>
        <v>52</v>
      </c>
      <c r="B52" s="6" t="str">
        <f aca="false">Sheet1!A52</f>
        <v>Private Funding</v>
      </c>
      <c r="C52" s="6" t="str">
        <f aca="false">MID(Sheet1!D52,2,FIND("]",Sheet1!D52)-2)</f>
        <v>READINESS</v>
      </c>
      <c r="D52" s="6" t="str">
        <f aca="false">IF(ISNUMBER(FIND("CONTEXT",C52)),"CONTEXT",IF(ISNUMBER(FIND("BOTH",C52)),"BOTH",IF(ISNUMBER(FIND("READINESS",C52)),"READINESS","NEED")))</f>
        <v>READINESS</v>
      </c>
      <c r="E52" s="6" t="str">
        <f aca="false">IF(ISNUMBER(FIND("NEGATIVE",C52)),"Negative","Standard")</f>
        <v>Standard</v>
      </c>
      <c r="F52" s="7" t="s">
        <v>419</v>
      </c>
      <c r="G52" s="7" t="s">
        <v>424</v>
      </c>
      <c r="H52" s="7" t="s">
        <v>436</v>
      </c>
      <c r="I52" s="8"/>
      <c r="J52" s="8"/>
      <c r="K52" s="7" t="s">
        <v>422</v>
      </c>
    </row>
    <row r="53" customFormat="false" ht="15" hidden="false" customHeight="true" outlineLevel="0" collapsed="false">
      <c r="A53" s="6" t="n">
        <f aca="false">ROW(Sheet1!A53)</f>
        <v>53</v>
      </c>
      <c r="B53" s="6" t="str">
        <f aca="false">Sheet1!A53</f>
        <v>Government contributions</v>
      </c>
      <c r="C53" s="6" t="str">
        <f aca="false">MID(Sheet1!D53,2,FIND("]",Sheet1!D53)-2)</f>
        <v>READINESS</v>
      </c>
      <c r="D53" s="6" t="str">
        <f aca="false">IF(ISNUMBER(FIND("CONTEXT",C53)),"CONTEXT",IF(ISNUMBER(FIND("BOTH",C53)),"BOTH",IF(ISNUMBER(FIND("READINESS",C53)),"READINESS","NEED")))</f>
        <v>READINESS</v>
      </c>
      <c r="E53" s="6" t="str">
        <f aca="false">IF(ISNUMBER(FIND("NEGATIVE",C53)),"Negative","Standard")</f>
        <v>Standard</v>
      </c>
      <c r="F53" s="7" t="s">
        <v>419</v>
      </c>
      <c r="G53" s="7" t="s">
        <v>424</v>
      </c>
      <c r="H53" s="7" t="s">
        <v>436</v>
      </c>
      <c r="I53" s="8"/>
      <c r="J53" s="8"/>
      <c r="K53" s="7" t="s">
        <v>422</v>
      </c>
    </row>
    <row r="54" customFormat="false" ht="15" hidden="false" customHeight="true" outlineLevel="0" collapsed="false">
      <c r="A54" s="6" t="n">
        <f aca="false">ROW(Sheet1!A54)</f>
        <v>54</v>
      </c>
      <c r="B54" s="6" t="str">
        <f aca="false">Sheet1!A54</f>
        <v>Digital maturity of core website</v>
      </c>
      <c r="C54" s="6" t="str">
        <f aca="false">MID(Sheet1!D54,2,FIND("]",Sheet1!D54)-2)</f>
        <v>NEED</v>
      </c>
      <c r="D54" s="6" t="str">
        <f aca="false">IF(ISNUMBER(FIND("CONTEXT",C54)),"CONTEXT",IF(ISNUMBER(FIND("BOTH",C54)),"BOTH",IF(ISNUMBER(FIND("READINESS",C54)),"READINESS","NEED")))</f>
        <v>NEED</v>
      </c>
      <c r="E54" s="6" t="str">
        <f aca="false">IF(ISNUMBER(FIND("NEGATIVE",C54)),"Negative","Standard")</f>
        <v>Standard</v>
      </c>
      <c r="F54" s="7" t="s">
        <v>419</v>
      </c>
      <c r="G54" s="7" t="s">
        <v>420</v>
      </c>
      <c r="H54" s="7" t="s">
        <v>427</v>
      </c>
      <c r="I54" s="8"/>
      <c r="J54" s="8"/>
      <c r="K54" s="7" t="s">
        <v>437</v>
      </c>
    </row>
    <row r="55" customFormat="false" ht="15" hidden="false" customHeight="true" outlineLevel="0" collapsed="false">
      <c r="A55" s="6" t="n">
        <f aca="false">ROW(Sheet1!A55)</f>
        <v>55</v>
      </c>
      <c r="B55" s="6" t="str">
        <f aca="false">Sheet1!A55</f>
        <v>LinkedIn company page activity</v>
      </c>
      <c r="C55" s="6" t="str">
        <f aca="false">MID(Sheet1!D55,2,FIND("]",Sheet1!D55)-2)</f>
        <v>NEED</v>
      </c>
      <c r="D55" s="6" t="str">
        <f aca="false">IF(ISNUMBER(FIND("CONTEXT",C55)),"CONTEXT",IF(ISNUMBER(FIND("BOTH",C55)),"BOTH",IF(ISNUMBER(FIND("READINESS",C55)),"READINESS","NEED")))</f>
        <v>NEED</v>
      </c>
      <c r="E55" s="6" t="str">
        <f aca="false">IF(ISNUMBER(FIND("NEGATIVE",C55)),"Negative","Standard")</f>
        <v>Standard</v>
      </c>
      <c r="F55" s="7" t="s">
        <v>419</v>
      </c>
      <c r="G55" s="7" t="s">
        <v>420</v>
      </c>
      <c r="H55" s="7" t="s">
        <v>427</v>
      </c>
      <c r="I55" s="8"/>
      <c r="J55" s="8"/>
      <c r="K55" s="7" t="s">
        <v>437</v>
      </c>
    </row>
    <row r="56" customFormat="false" ht="15" hidden="false" customHeight="true" outlineLevel="0" collapsed="false">
      <c r="A56" s="6" t="n">
        <f aca="false">ROW(Sheet1!A56)</f>
        <v>56</v>
      </c>
      <c r="B56" s="6" t="str">
        <f aca="false">Sheet1!A56</f>
        <v>Job postings for digital/technical roles</v>
      </c>
      <c r="C56" s="6" t="str">
        <f aca="false">MID(Sheet1!D56,2,FIND("]",Sheet1!D56)-2)</f>
        <v>READINESS</v>
      </c>
      <c r="D56" s="6" t="str">
        <f aca="false">IF(ISNUMBER(FIND("CONTEXT",C56)),"CONTEXT",IF(ISNUMBER(FIND("BOTH",C56)),"BOTH",IF(ISNUMBER(FIND("READINESS",C56)),"READINESS","NEED")))</f>
        <v>READINESS</v>
      </c>
      <c r="E56" s="6" t="str">
        <f aca="false">IF(ISNUMBER(FIND("NEGATIVE",C56)),"Negative","Standard")</f>
        <v>Standard</v>
      </c>
      <c r="F56" s="7" t="s">
        <v>419</v>
      </c>
      <c r="G56" s="7" t="s">
        <v>420</v>
      </c>
      <c r="H56" s="7" t="s">
        <v>438</v>
      </c>
      <c r="I56" s="8"/>
      <c r="J56" s="8"/>
      <c r="K56" s="7" t="s">
        <v>437</v>
      </c>
    </row>
    <row r="57" customFormat="false" ht="15" hidden="false" customHeight="true" outlineLevel="0" collapsed="false">
      <c r="A57" s="6" t="n">
        <f aca="false">ROW(Sheet1!A57)</f>
        <v>57</v>
      </c>
      <c r="B57" s="6" t="str">
        <f aca="false">Sheet1!A57</f>
        <v>Employer review sentiment (Kununu/Glassdoor)</v>
      </c>
      <c r="C57" s="6" t="str">
        <f aca="false">MID(Sheet1!D57,2,FIND("]",Sheet1!D57)-2)</f>
        <v>READINESS, caveat</v>
      </c>
      <c r="D57" s="6" t="str">
        <f aca="false">IF(ISNUMBER(FIND("CONTEXT",C57)),"CONTEXT",IF(ISNUMBER(FIND("BOTH",C57)),"BOTH",IF(ISNUMBER(FIND("READINESS",C57)),"READINESS","NEED")))</f>
        <v>READINESS</v>
      </c>
      <c r="E57" s="6" t="str">
        <f aca="false">IF(ISNUMBER(FIND("NEGATIVE",C57)),"Negative","Standard")</f>
        <v>Standard</v>
      </c>
      <c r="F57" s="7" t="s">
        <v>419</v>
      </c>
      <c r="G57" s="7" t="s">
        <v>420</v>
      </c>
      <c r="H57" s="4"/>
      <c r="I57" s="8"/>
      <c r="J57" s="8"/>
      <c r="K57" s="7" t="s">
        <v>437</v>
      </c>
    </row>
    <row r="58" customFormat="false" ht="15" hidden="false" customHeight="true" outlineLevel="0" collapsed="false">
      <c r="A58" s="6" t="n">
        <f aca="false">ROW(Sheet1!A58)</f>
        <v>58</v>
      </c>
      <c r="B58" s="6" t="str">
        <f aca="false">Sheet1!A58</f>
        <v>Family ownership share</v>
      </c>
      <c r="C58" s="6" t="str">
        <f aca="false">MID(Sheet1!D58,2,FIND("]",Sheet1!D58)-2)</f>
        <v>CONTEXT / MODERATOR</v>
      </c>
      <c r="D58" s="6" t="str">
        <f aca="false">IF(ISNUMBER(FIND("CONTEXT",C58)),"CONTEXT",IF(ISNUMBER(FIND("BOTH",C58)),"BOTH",IF(ISNUMBER(FIND("READINESS",C58)),"READINESS","NEED")))</f>
        <v>CONTEXT</v>
      </c>
      <c r="E58" s="6" t="str">
        <f aca="false">IF(ISNUMBER(FIND("NEGATIVE",C58)),"Negative","Standard")</f>
        <v>Standard</v>
      </c>
      <c r="F58" s="7" t="s">
        <v>431</v>
      </c>
      <c r="G58" s="7" t="s">
        <v>424</v>
      </c>
      <c r="H58" s="4"/>
      <c r="I58" s="8"/>
      <c r="J58" s="8"/>
      <c r="K58" s="7" t="s">
        <v>437</v>
      </c>
    </row>
    <row r="59" customFormat="false" ht="15" hidden="false" customHeight="true" outlineLevel="0" collapsed="false">
      <c r="A59" s="6" t="n">
        <f aca="false">ROW(Sheet1!A59)</f>
        <v>59</v>
      </c>
      <c r="B59" s="6" t="str">
        <f aca="false">Sheet1!A59</f>
        <v>Independent (non-family) board members</v>
      </c>
      <c r="C59" s="6" t="str">
        <f aca="false">MID(Sheet1!D59,2,FIND("]",Sheet1!D59)-2)</f>
        <v>READINESS</v>
      </c>
      <c r="D59" s="6" t="str">
        <f aca="false">IF(ISNUMBER(FIND("CONTEXT",C59)),"CONTEXT",IF(ISNUMBER(FIND("BOTH",C59)),"BOTH",IF(ISNUMBER(FIND("READINESS",C59)),"READINESS","NEED")))</f>
        <v>READINESS</v>
      </c>
      <c r="E59" s="6" t="str">
        <f aca="false">IF(ISNUMBER(FIND("NEGATIVE",C59)),"Negative","Standard")</f>
        <v>Standard</v>
      </c>
      <c r="F59" s="7" t="s">
        <v>419</v>
      </c>
      <c r="G59" s="7" t="s">
        <v>424</v>
      </c>
      <c r="H59" s="4"/>
      <c r="I59" s="8"/>
      <c r="J59" s="8"/>
      <c r="K59" s="7" t="s">
        <v>437</v>
      </c>
    </row>
    <row r="60" customFormat="false" ht="15" hidden="false" customHeight="true" outlineLevel="0" collapsed="false">
      <c r="A60" s="6" t="n">
        <f aca="false">ROW(Sheet1!A60)</f>
        <v>60</v>
      </c>
      <c r="B60" s="6" t="str">
        <f aca="false">Sheet1!A60</f>
        <v>ESG / sustainability reporting</v>
      </c>
      <c r="C60" s="6" t="str">
        <f aca="false">MID(Sheet1!D60,2,FIND("]",Sheet1!D60)-2)</f>
        <v>READINESS</v>
      </c>
      <c r="D60" s="6" t="str">
        <f aca="false">IF(ISNUMBER(FIND("CONTEXT",C60)),"CONTEXT",IF(ISNUMBER(FIND("BOTH",C60)),"BOTH",IF(ISNUMBER(FIND("READINESS",C60)),"READINESS","NEED")))</f>
        <v>READINESS</v>
      </c>
      <c r="E60" s="6" t="str">
        <f aca="false">IF(ISNUMBER(FIND("NEGATIVE",C60)),"Negative","Standard")</f>
        <v>Standard</v>
      </c>
      <c r="F60" s="7" t="s">
        <v>419</v>
      </c>
      <c r="G60" s="7" t="s">
        <v>420</v>
      </c>
      <c r="H60" s="4"/>
      <c r="I60" s="8"/>
      <c r="J60" s="8"/>
      <c r="K60" s="7" t="s">
        <v>437</v>
      </c>
    </row>
    <row r="61" customFormat="false" ht="15" hidden="false" customHeight="true" outlineLevel="0" collapsed="false">
      <c r="A61" s="6" t="n">
        <f aca="false">ROW(Sheet1!A61)</f>
        <v>61</v>
      </c>
      <c r="B61" s="6" t="str">
        <f aca="false">Sheet1!A61</f>
        <v>Trade fair / industry association participation</v>
      </c>
      <c r="C61" s="6" t="str">
        <f aca="false">MID(Sheet1!D61,2,FIND("]",Sheet1!D61)-2)</f>
        <v>READINESS</v>
      </c>
      <c r="D61" s="6" t="str">
        <f aca="false">IF(ISNUMBER(FIND("CONTEXT",C61)),"CONTEXT",IF(ISNUMBER(FIND("BOTH",C61)),"BOTH",IF(ISNUMBER(FIND("READINESS",C61)),"READINESS","NEED")))</f>
        <v>READINESS</v>
      </c>
      <c r="E61" s="6" t="str">
        <f aca="false">IF(ISNUMBER(FIND("NEGATIVE",C61)),"Negative","Standard")</f>
        <v>Standard</v>
      </c>
      <c r="F61" s="7" t="s">
        <v>419</v>
      </c>
      <c r="G61" s="7" t="s">
        <v>420</v>
      </c>
      <c r="H61" s="4"/>
      <c r="I61" s="8"/>
      <c r="J61" s="8"/>
      <c r="K61" s="7" t="s">
        <v>437</v>
      </c>
    </row>
    <row r="62" customFormat="false" ht="15" hidden="false" customHeight="true" outlineLevel="0" collapsed="false">
      <c r="A62" s="6" t="n">
        <f aca="false">ROW(Sheet1!A62)</f>
        <v>62</v>
      </c>
      <c r="B62" s="6" t="str">
        <f aca="false">Sheet1!A62</f>
        <v>University / research institute partnership</v>
      </c>
      <c r="C62" s="6" t="str">
        <f aca="false">MID(Sheet1!D62,2,FIND("]",Sheet1!D62)-2)</f>
        <v>READINESS</v>
      </c>
      <c r="D62" s="6" t="str">
        <f aca="false">IF(ISNUMBER(FIND("CONTEXT",C62)),"CONTEXT",IF(ISNUMBER(FIND("BOTH",C62)),"BOTH",IF(ISNUMBER(FIND("READINESS",C62)),"READINESS","NEED")))</f>
        <v>READINESS</v>
      </c>
      <c r="E62" s="6" t="str">
        <f aca="false">IF(ISNUMBER(FIND("NEGATIVE",C62)),"Negative","Standard")</f>
        <v>Standard</v>
      </c>
      <c r="F62" s="7" t="s">
        <v>419</v>
      </c>
      <c r="G62" s="7" t="s">
        <v>425</v>
      </c>
      <c r="H62" s="7" t="s">
        <v>435</v>
      </c>
      <c r="I62" s="8"/>
      <c r="J62" s="8"/>
      <c r="K62" s="7" t="s">
        <v>437</v>
      </c>
    </row>
    <row r="63" customFormat="false" ht="15" hidden="false" customHeight="true" outlineLevel="0" collapsed="false">
      <c r="A63" s="6" t="n">
        <f aca="false">ROW(Sheet1!A63)</f>
        <v>63</v>
      </c>
      <c r="B63" s="6" t="str">
        <f aca="false">Sheet1!A63</f>
        <v>ERP / core systems age</v>
      </c>
      <c r="C63" s="6" t="str">
        <f aca="false">MID(Sheet1!D63,2,FIND("]",Sheet1!D63)-2)</f>
        <v>NEED</v>
      </c>
      <c r="D63" s="6" t="str">
        <f aca="false">IF(ISNUMBER(FIND("CONTEXT",C63)),"CONTEXT",IF(ISNUMBER(FIND("BOTH",C63)),"BOTH",IF(ISNUMBER(FIND("READINESS",C63)),"READINESS","NEED")))</f>
        <v>NEED</v>
      </c>
      <c r="E63" s="6" t="str">
        <f aca="false">IF(ISNUMBER(FIND("NEGATIVE",C63)),"Negative","Standard")</f>
        <v>Standard</v>
      </c>
      <c r="F63" s="7" t="s">
        <v>419</v>
      </c>
      <c r="G63" s="7" t="s">
        <v>420</v>
      </c>
      <c r="H63" s="7" t="s">
        <v>438</v>
      </c>
      <c r="I63" s="8"/>
      <c r="J63" s="8"/>
      <c r="K63" s="7" t="s">
        <v>437</v>
      </c>
    </row>
    <row r="64" customFormat="false" ht="15" hidden="false" customHeight="true" outlineLevel="0" collapsed="false">
      <c r="A64" s="6" t="n">
        <f aca="false">ROW(Sheet1!A64)</f>
        <v>64</v>
      </c>
      <c r="B64" s="6" t="str">
        <f aca="false">Sheet1!A64</f>
        <v>Press mentions of new product/service launches</v>
      </c>
      <c r="C64" s="6" t="str">
        <f aca="false">MID(Sheet1!D64,2,FIND("]",Sheet1!D64)-2)</f>
        <v>NEED</v>
      </c>
      <c r="D64" s="6" t="str">
        <f aca="false">IF(ISNUMBER(FIND("CONTEXT",C64)),"CONTEXT",IF(ISNUMBER(FIND("BOTH",C64)),"BOTH",IF(ISNUMBER(FIND("READINESS",C64)),"READINESS","NEED")))</f>
        <v>NEED</v>
      </c>
      <c r="E64" s="6" t="str">
        <f aca="false">IF(ISNUMBER(FIND("NEGATIVE",C64)),"Negative","Standard")</f>
        <v>Standard</v>
      </c>
      <c r="F64" s="7" t="s">
        <v>419</v>
      </c>
      <c r="G64" s="7" t="s">
        <v>425</v>
      </c>
      <c r="H64" s="7" t="s">
        <v>427</v>
      </c>
      <c r="I64" s="8"/>
      <c r="J64" s="8"/>
      <c r="K64" s="7" t="s">
        <v>437</v>
      </c>
    </row>
    <row r="65" customFormat="false" ht="15" hidden="false" customHeight="true" outlineLevel="0" collapsed="false">
      <c r="A65" s="6" t="n">
        <f aca="false">ROW(Sheet1!A65)</f>
        <v>65</v>
      </c>
      <c r="B65" s="6" t="str">
        <f aca="false">Sheet1!A65</f>
        <v>Supply chain digitization</v>
      </c>
      <c r="C65" s="6" t="str">
        <f aca="false">MID(Sheet1!D65,2,FIND("]",Sheet1!D65)-2)</f>
        <v>NEED</v>
      </c>
      <c r="D65" s="6" t="str">
        <f aca="false">IF(ISNUMBER(FIND("CONTEXT",C65)),"CONTEXT",IF(ISNUMBER(FIND("BOTH",C65)),"BOTH",IF(ISNUMBER(FIND("READINESS",C65)),"READINESS","NEED")))</f>
        <v>NEED</v>
      </c>
      <c r="E65" s="6" t="str">
        <f aca="false">IF(ISNUMBER(FIND("NEGATIVE",C65)),"Negative","Standard")</f>
        <v>Standard</v>
      </c>
      <c r="F65" s="7" t="s">
        <v>419</v>
      </c>
      <c r="G65" s="7" t="s">
        <v>426</v>
      </c>
      <c r="H65" s="7" t="s">
        <v>438</v>
      </c>
      <c r="I65" s="8"/>
      <c r="J65" s="8"/>
      <c r="K65" s="7" t="s">
        <v>437</v>
      </c>
    </row>
    <row r="66" customFormat="false" ht="15" hidden="false" customHeight="true" outlineLevel="0" collapsed="false">
      <c r="A66" s="6" t="n">
        <f aca="false">ROW(Sheet1!A66)</f>
        <v>66</v>
      </c>
      <c r="B66" s="6" t="str">
        <f aca="false">Sheet1!A66</f>
        <v>Energy transition / sustainability CapEx</v>
      </c>
      <c r="C66" s="6" t="str">
        <f aca="false">MID(Sheet1!D66,2,FIND("]",Sheet1!D66)-2)</f>
        <v>READINESS</v>
      </c>
      <c r="D66" s="6" t="str">
        <f aca="false">IF(ISNUMBER(FIND("CONTEXT",C66)),"CONTEXT",IF(ISNUMBER(FIND("BOTH",C66)),"BOTH",IF(ISNUMBER(FIND("READINESS",C66)),"READINESS","NEED")))</f>
        <v>READINESS</v>
      </c>
      <c r="E66" s="6" t="str">
        <f aca="false">IF(ISNUMBER(FIND("NEGATIVE",C66)),"Negative","Standard")</f>
        <v>Standard</v>
      </c>
      <c r="F66" s="7" t="s">
        <v>419</v>
      </c>
      <c r="G66" s="7" t="s">
        <v>424</v>
      </c>
      <c r="H66" s="4"/>
      <c r="I66" s="8"/>
      <c r="J66" s="8"/>
      <c r="K66" s="7" t="s">
        <v>437</v>
      </c>
    </row>
    <row r="67" customFormat="false" ht="27.75" hidden="false" customHeight="true" outlineLevel="0" collapsed="false">
      <c r="A67" s="6" t="n">
        <f aca="false">ROW(Sheet1!A67)</f>
        <v>67</v>
      </c>
      <c r="B67" s="6" t="str">
        <f aca="false">Sheet1!A67</f>
        <v>Prior open-innovation channel usage (idea competitions, accelerators, corporate venturing)</v>
      </c>
      <c r="C67" s="6" t="str">
        <f aca="false">MID(Sheet1!D67,2,FIND("]",Sheet1!D67)-2)</f>
        <v>READINESS BASELINE</v>
      </c>
      <c r="D67" s="6" t="str">
        <f aca="false">IF(ISNUMBER(FIND("CONTEXT",C67)),"CONTEXT",IF(ISNUMBER(FIND("BOTH",C67)),"BOTH",IF(ISNUMBER(FIND("READINESS",C67)),"READINESS","NEED")))</f>
        <v>READINESS</v>
      </c>
      <c r="E67" s="6" t="str">
        <f aca="false">IF(ISNUMBER(FIND("NEGATIVE",C67)),"Negative","Standard")</f>
        <v>Standard</v>
      </c>
      <c r="F67" s="7" t="s">
        <v>439</v>
      </c>
      <c r="G67" s="7" t="s">
        <v>425</v>
      </c>
      <c r="H67" s="4"/>
      <c r="I67" s="8"/>
      <c r="J67" s="8"/>
      <c r="K67" s="7" t="s">
        <v>437</v>
      </c>
    </row>
    <row r="68" customFormat="false" ht="15" hidden="false" customHeight="true" outlineLevel="0" collapsed="false">
      <c r="A68" s="6" t="n">
        <f aca="false">ROW(Sheet1!A68)</f>
        <v>68</v>
      </c>
      <c r="B68" s="6" t="str">
        <f aca="false">Sheet1!A68</f>
        <v>Average tenure of senior management team</v>
      </c>
      <c r="C68" s="6" t="str">
        <f aca="false">MID(Sheet1!D68,2,FIND("]",Sheet1!D68)-2)</f>
        <v>READINESS, NEGATIVE</v>
      </c>
      <c r="D68" s="6" t="str">
        <f aca="false">IF(ISNUMBER(FIND("CONTEXT",C68)),"CONTEXT",IF(ISNUMBER(FIND("BOTH",C68)),"BOTH",IF(ISNUMBER(FIND("READINESS",C68)),"READINESS","NEED")))</f>
        <v>READINESS</v>
      </c>
      <c r="E68" s="6" t="str">
        <f aca="false">IF(ISNUMBER(FIND("NEGATIVE",C68)),"Negative","Standard")</f>
        <v>Negative</v>
      </c>
      <c r="F68" s="7" t="s">
        <v>419</v>
      </c>
      <c r="G68" s="7" t="s">
        <v>420</v>
      </c>
      <c r="H68" s="7" t="s">
        <v>421</v>
      </c>
      <c r="I68" s="8"/>
      <c r="J68" s="8"/>
      <c r="K68" s="7" t="s">
        <v>437</v>
      </c>
    </row>
    <row r="69" customFormat="false" ht="15" hidden="false" customHeight="true" outlineLevel="0" collapsed="false">
      <c r="A69" s="6" t="n">
        <f aca="false">ROW(Sheet1!A69)</f>
        <v>69</v>
      </c>
      <c r="B69" s="6" t="str">
        <f aca="false">Sheet1!A69</f>
        <v>Presence of a named digital/innovation lead role</v>
      </c>
      <c r="C69" s="6" t="str">
        <f aca="false">MID(Sheet1!D69,2,FIND("]",Sheet1!D69)-2)</f>
        <v>READINESS, CRITICAL GATE</v>
      </c>
      <c r="D69" s="6" t="str">
        <f aca="false">IF(ISNUMBER(FIND("CONTEXT",C69)),"CONTEXT",IF(ISNUMBER(FIND("BOTH",C69)),"BOTH",IF(ISNUMBER(FIND("READINESS",C69)),"READINESS","NEED")))</f>
        <v>READINESS</v>
      </c>
      <c r="E69" s="6" t="str">
        <f aca="false">IF(ISNUMBER(FIND("NEGATIVE",C69)),"Negative","Standard")</f>
        <v>Standard</v>
      </c>
      <c r="F69" s="7" t="s">
        <v>439</v>
      </c>
      <c r="G69" s="7" t="s">
        <v>420</v>
      </c>
      <c r="H69" s="4"/>
      <c r="I69" s="8"/>
      <c r="J69" s="8"/>
      <c r="K69" s="7" t="s">
        <v>437</v>
      </c>
    </row>
    <row r="70" customFormat="false" ht="27.75" hidden="false" customHeight="true" outlineLevel="0" collapsed="false">
      <c r="A70" s="6" t="n">
        <f aca="false">ROW(Sheet1!A70)</f>
        <v>70</v>
      </c>
      <c r="B70" s="6" t="str">
        <f aca="false">Sheet1!A70</f>
        <v>Depth of internal approval chain for new vendors/pilots</v>
      </c>
      <c r="C70" s="6" t="str">
        <f aca="false">MID(Sheet1!D70,2,FIND("]",Sheet1!D70)-2)</f>
        <v>READINESS, NEGATIVE</v>
      </c>
      <c r="D70" s="6" t="str">
        <f aca="false">IF(ISNUMBER(FIND("CONTEXT",C70)),"CONTEXT",IF(ISNUMBER(FIND("BOTH",C70)),"BOTH",IF(ISNUMBER(FIND("READINESS",C70)),"READINESS","NEED")))</f>
        <v>READINESS</v>
      </c>
      <c r="E70" s="6" t="str">
        <f aca="false">IF(ISNUMBER(FIND("NEGATIVE",C70)),"Negative","Standard")</f>
        <v>Negative</v>
      </c>
      <c r="F70" s="7" t="s">
        <v>439</v>
      </c>
      <c r="G70" s="7" t="s">
        <v>426</v>
      </c>
      <c r="H70" s="4"/>
      <c r="I70" s="8"/>
      <c r="J70" s="8"/>
      <c r="K70" s="7" t="s">
        <v>437</v>
      </c>
    </row>
    <row r="71" customFormat="false" ht="15" hidden="false" customHeight="true" outlineLevel="0" collapsed="false">
      <c r="A71" s="6" t="n">
        <f aca="false">ROW(Sheet1!A71)</f>
        <v>71</v>
      </c>
      <c r="B71" s="6" t="str">
        <f aca="false">Sheet1!A71</f>
        <v>Recent M&amp;A activity (acquired or acquirer)</v>
      </c>
      <c r="C71" s="6" t="str">
        <f aca="false">MID(Sheet1!D71,2,FIND("]",Sheet1!D71)-2)</f>
        <v>CONTEXT / MODERATOR</v>
      </c>
      <c r="D71" s="6" t="str">
        <f aca="false">IF(ISNUMBER(FIND("CONTEXT",C71)),"CONTEXT",IF(ISNUMBER(FIND("BOTH",C71)),"BOTH",IF(ISNUMBER(FIND("READINESS",C71)),"READINESS","NEED")))</f>
        <v>CONTEXT</v>
      </c>
      <c r="E71" s="6" t="str">
        <f aca="false">IF(ISNUMBER(FIND("NEGATIVE",C71)),"Negative","Standard")</f>
        <v>Standard</v>
      </c>
      <c r="F71" s="7" t="s">
        <v>431</v>
      </c>
      <c r="G71" s="7" t="s">
        <v>425</v>
      </c>
      <c r="H71" s="4"/>
      <c r="I71" s="8"/>
      <c r="J71" s="8"/>
      <c r="K71" s="7" t="s">
        <v>437</v>
      </c>
    </row>
    <row r="72" customFormat="false" ht="27.75" hidden="false" customHeight="true" outlineLevel="0" collapsed="false">
      <c r="A72" s="6" t="n">
        <f aca="false">ROW(Sheet1!A72)</f>
        <v>72</v>
      </c>
      <c r="B72" s="6" t="str">
        <f aca="false">Sheet1!A72</f>
        <v>System integration across core functions (ERP, MES, CMMS, PLM, quality, finance)</v>
      </c>
      <c r="C72" s="6" t="str">
        <f aca="false">MID(Sheet1!D72,2,FIND("]",Sheet1!D72)-2)</f>
        <v>NEED, readiness caveat</v>
      </c>
      <c r="D72" s="6" t="str">
        <f aca="false">IF(ISNUMBER(FIND("CONTEXT",C72)),"CONTEXT",IF(ISNUMBER(FIND("BOTH",C72)),"BOTH",IF(ISNUMBER(FIND("READINESS",C72)),"READINESS","NEED")))</f>
        <v>NEED</v>
      </c>
      <c r="E72" s="6" t="str">
        <f aca="false">IF(ISNUMBER(FIND("NEGATIVE",C72)),"Negative","Standard")</f>
        <v>Standard</v>
      </c>
      <c r="F72" s="7" t="s">
        <v>419</v>
      </c>
      <c r="G72" s="7" t="s">
        <v>426</v>
      </c>
      <c r="H72" s="7" t="s">
        <v>438</v>
      </c>
      <c r="I72" s="8"/>
      <c r="J72" s="8"/>
      <c r="K72" s="7" t="s">
        <v>440</v>
      </c>
    </row>
    <row r="73" customFormat="false" ht="27.75" hidden="false" customHeight="true" outlineLevel="0" collapsed="false">
      <c r="A73" s="6" t="n">
        <f aca="false">ROW(Sheet1!A73)</f>
        <v>73</v>
      </c>
      <c r="B73" s="6" t="str">
        <f aca="false">Sheet1!A73</f>
        <v>Maintenance management digitization</v>
      </c>
      <c r="C73" s="6" t="str">
        <f aca="false">MID(Sheet1!D73,2,FIND("]",Sheet1!D73)-2)</f>
        <v>NEED</v>
      </c>
      <c r="D73" s="6" t="str">
        <f aca="false">IF(ISNUMBER(FIND("CONTEXT",C73)),"CONTEXT",IF(ISNUMBER(FIND("BOTH",C73)),"BOTH",IF(ISNUMBER(FIND("READINESS",C73)),"READINESS","NEED")))</f>
        <v>NEED</v>
      </c>
      <c r="E73" s="6" t="str">
        <f aca="false">IF(ISNUMBER(FIND("NEGATIVE",C73)),"Negative","Standard")</f>
        <v>Standard</v>
      </c>
      <c r="F73" s="7" t="s">
        <v>419</v>
      </c>
      <c r="G73" s="7" t="s">
        <v>426</v>
      </c>
      <c r="H73" s="7" t="s">
        <v>438</v>
      </c>
      <c r="I73" s="8"/>
      <c r="J73" s="8"/>
      <c r="K73" s="7" t="s">
        <v>440</v>
      </c>
    </row>
    <row r="74" customFormat="false" ht="27.75" hidden="false" customHeight="true" outlineLevel="0" collapsed="false">
      <c r="A74" s="6" t="n">
        <f aca="false">ROW(Sheet1!A74)</f>
        <v>74</v>
      </c>
      <c r="B74" s="6" t="str">
        <f aca="false">Sheet1!A74</f>
        <v>Quality process maturity</v>
      </c>
      <c r="C74" s="6" t="str">
        <f aca="false">MID(Sheet1!D74,2,FIND("]",Sheet1!D74)-2)</f>
        <v>BOTH</v>
      </c>
      <c r="D74" s="6" t="str">
        <f aca="false">IF(ISNUMBER(FIND("CONTEXT",C74)),"CONTEXT",IF(ISNUMBER(FIND("BOTH",C74)),"BOTH",IF(ISNUMBER(FIND("READINESS",C74)),"READINESS","NEED")))</f>
        <v>BOTH</v>
      </c>
      <c r="E74" s="6" t="str">
        <f aca="false">IF(ISNUMBER(FIND("NEGATIVE",C74)),"Negative","Standard")</f>
        <v>Standard</v>
      </c>
      <c r="F74" s="7" t="s">
        <v>419</v>
      </c>
      <c r="G74" s="7" t="s">
        <v>424</v>
      </c>
      <c r="H74" s="7" t="s">
        <v>430</v>
      </c>
      <c r="I74" s="8"/>
      <c r="J74" s="8"/>
      <c r="K74" s="7" t="s">
        <v>440</v>
      </c>
    </row>
    <row r="75" customFormat="false" ht="27.75" hidden="false" customHeight="true" outlineLevel="0" collapsed="false">
      <c r="A75" s="6" t="n">
        <f aca="false">ROW(Sheet1!A75)</f>
        <v>75</v>
      </c>
      <c r="B75" s="6" t="str">
        <f aca="false">Sheet1!A75</f>
        <v>Prior digital maturity self-assessment</v>
      </c>
      <c r="C75" s="6" t="str">
        <f aca="false">MID(Sheet1!D75,2,FIND("]",Sheet1!D75)-2)</f>
        <v>READINESS</v>
      </c>
      <c r="D75" s="6" t="str">
        <f aca="false">IF(ISNUMBER(FIND("CONTEXT",C75)),"CONTEXT",IF(ISNUMBER(FIND("BOTH",C75)),"BOTH",IF(ISNUMBER(FIND("READINESS",C75)),"READINESS","NEED")))</f>
        <v>READINESS</v>
      </c>
      <c r="E75" s="6" t="str">
        <f aca="false">IF(ISNUMBER(FIND("NEGATIVE",C75)),"Negative","Standard")</f>
        <v>Standard</v>
      </c>
      <c r="F75" s="7" t="s">
        <v>419</v>
      </c>
      <c r="G75" s="7" t="s">
        <v>426</v>
      </c>
      <c r="H75" s="7" t="s">
        <v>438</v>
      </c>
      <c r="I75" s="8"/>
      <c r="J75" s="8"/>
      <c r="K75" s="7" t="s">
        <v>440</v>
      </c>
    </row>
    <row r="78" customFormat="false" ht="15" hidden="false" customHeight="true" outlineLevel="0" collapsed="false">
      <c r="B78" s="9" t="s">
        <v>441</v>
      </c>
    </row>
    <row r="79" customFormat="false" ht="15" hidden="false" customHeight="true" outlineLevel="0" collapsed="false">
      <c r="B79" s="10" t="s">
        <v>442</v>
      </c>
      <c r="C79" s="11" t="n">
        <f aca="false">SUMIFS(I2:I75,F2:F75,"Scored")</f>
        <v>0</v>
      </c>
    </row>
    <row r="80" customFormat="false" ht="15" hidden="false" customHeight="true" outlineLevel="0" collapsed="false">
      <c r="B80" s="10" t="s">
        <v>443</v>
      </c>
      <c r="C80" s="11" t="n">
        <f aca="false">SUMIFS(J2:J75,F2:F75,"Scored")</f>
        <v>0</v>
      </c>
    </row>
    <row r="81" customFormat="false" ht="15" hidden="false" customHeight="true" outlineLevel="0" collapsed="false">
      <c r="B81" s="10" t="s">
        <v>444</v>
      </c>
      <c r="C81" s="12" t="n">
        <f aca="false">COUNTIFS(D2:D75,"NEED",J2:J75,"&gt;0")+COUNTIFS(D2:D75,"READINESS",I2:I75,"&gt;0")+COUNTIFS(D2:D75,"CONTEXT",I2:I75,"&gt;0")+COUNTIFS(D2:D75,"CONTEXT",J2:J75,"&gt;0")</f>
        <v>0</v>
      </c>
    </row>
    <row r="82" customFormat="false" ht="15" hidden="false" customHeight="true" outlineLevel="0" collapsed="false">
      <c r="B82" s="10" t="s">
        <v>445</v>
      </c>
      <c r="C82" s="12" t="n">
        <f aca="false">COUNTIFS(F2:F75,"Gate",I2:I75,"&gt;0")+COUNTIFS(F2:F75,"Gate",J2:J75,"&gt;0")+COUNTIFS(F2:F75,"Moderator",I2:I75,"&gt;0")+COUNTIFS(F2:F75,"Moderator",J2:J75,"&gt;0")</f>
        <v>0</v>
      </c>
    </row>
    <row r="83" customFormat="false" ht="15" hidden="false" customHeight="true" outlineLevel="0" collapsed="false">
      <c r="B83" s="10" t="s">
        <v>446</v>
      </c>
      <c r="C83" s="12" t="n">
        <f aca="false">COUNTIFS(F2:F75,"Scored",D2:D75,"NEED")+COUNTIFS(F2:F75,"Scored",D2:D75,"BOTH")</f>
        <v>37</v>
      </c>
    </row>
    <row r="84" customFormat="false" ht="15" hidden="false" customHeight="true" outlineLevel="0" collapsed="false">
      <c r="B84" s="10" t="s">
        <v>447</v>
      </c>
      <c r="C84" s="12" t="n">
        <f aca="false">COUNTIFS(F2:F75,"Scored",D2:D75,"READINESS")+COUNTIFS(F2:F75,"Scored",D2:D75,"BOTH")</f>
        <v>33</v>
      </c>
    </row>
    <row r="86" customFormat="false" ht="15" hidden="false" customHeight="true" outlineLevel="0" collapsed="false">
      <c r="B86" s="9" t="s">
        <v>448</v>
      </c>
    </row>
    <row r="87" customFormat="false" ht="15" hidden="false" customHeight="true" outlineLevel="0" collapsed="false">
      <c r="B87" s="10" t="s">
        <v>449</v>
      </c>
    </row>
    <row r="88" customFormat="false" ht="15" hidden="false" customHeight="true" outlineLevel="0" collapsed="false">
      <c r="B88" s="10" t="s">
        <v>450</v>
      </c>
    </row>
    <row r="89" customFormat="false" ht="15" hidden="false" customHeight="true" outlineLevel="0" collapsed="false">
      <c r="B89" s="10" t="s">
        <v>451</v>
      </c>
    </row>
    <row r="90" customFormat="false" ht="15" hidden="false" customHeight="true" outlineLevel="0" collapsed="false">
      <c r="B90" s="10" t="s">
        <v>452</v>
      </c>
    </row>
    <row r="91" customFormat="false" ht="15" hidden="false" customHeight="true" outlineLevel="0" collapsed="false">
      <c r="B91" s="10" t="s">
        <v>453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4"/>
    <col collapsed="false" customWidth="true" hidden="false" outlineLevel="0" max="3" min="3" style="1" width="44"/>
    <col collapsed="false" customWidth="true" hidden="false" outlineLevel="0" max="4" min="4" style="1" width="14"/>
    <col collapsed="false" customWidth="true" hidden="false" outlineLevel="0" max="6" min="5" style="1" width="60"/>
  </cols>
  <sheetData>
    <row r="1" customFormat="false" ht="15" hidden="false" customHeight="true" outlineLevel="0" collapsed="false">
      <c r="A1" s="5" t="s">
        <v>454</v>
      </c>
      <c r="B1" s="5" t="s">
        <v>409</v>
      </c>
      <c r="C1" s="5" t="s">
        <v>0</v>
      </c>
      <c r="D1" s="5" t="s">
        <v>455</v>
      </c>
      <c r="E1" s="5" t="s">
        <v>456</v>
      </c>
      <c r="F1" s="5" t="s">
        <v>457</v>
      </c>
    </row>
    <row r="2" customFormat="false" ht="27.75" hidden="false" customHeight="true" outlineLevel="0" collapsed="false">
      <c r="A2" s="6" t="n">
        <v>1</v>
      </c>
      <c r="B2" s="6" t="n">
        <v>63</v>
      </c>
      <c r="C2" s="6" t="str">
        <f aca="false">Sheet1!A63</f>
        <v>ERP / core systems age</v>
      </c>
      <c r="D2" s="6" t="s">
        <v>458</v>
      </c>
      <c r="E2" s="6" t="s">
        <v>459</v>
      </c>
      <c r="F2" s="6" t="s">
        <v>460</v>
      </c>
    </row>
    <row r="3" customFormat="false" ht="27.75" hidden="false" customHeight="true" outlineLevel="0" collapsed="false">
      <c r="A3" s="6" t="n">
        <v>2</v>
      </c>
      <c r="B3" s="6" t="n">
        <v>72</v>
      </c>
      <c r="C3" s="6" t="str">
        <f aca="false">Sheet1!A72</f>
        <v>System integration across core functions (ERP, MES, CMMS, PLM, quality, finance)</v>
      </c>
      <c r="D3" s="6" t="s">
        <v>461</v>
      </c>
      <c r="E3" s="6" t="s">
        <v>462</v>
      </c>
      <c r="F3" s="6" t="s">
        <v>463</v>
      </c>
    </row>
    <row r="4" customFormat="false" ht="27.75" hidden="false" customHeight="true" outlineLevel="0" collapsed="false">
      <c r="A4" s="6" t="n">
        <v>3</v>
      </c>
      <c r="B4" s="6" t="n">
        <v>73</v>
      </c>
      <c r="C4" s="6" t="str">
        <f aca="false">Sheet1!A73</f>
        <v>Maintenance management digitization</v>
      </c>
      <c r="D4" s="6" t="s">
        <v>461</v>
      </c>
      <c r="E4" s="6" t="s">
        <v>464</v>
      </c>
      <c r="F4" s="6" t="s">
        <v>465</v>
      </c>
    </row>
    <row r="5" customFormat="false" ht="27.75" hidden="false" customHeight="true" outlineLevel="0" collapsed="false">
      <c r="A5" s="6" t="n">
        <v>4</v>
      </c>
      <c r="B5" s="6" t="n">
        <v>74</v>
      </c>
      <c r="C5" s="6" t="str">
        <f aca="false">Sheet1!A74</f>
        <v>Quality process maturity</v>
      </c>
      <c r="D5" s="6" t="s">
        <v>461</v>
      </c>
      <c r="E5" s="6" t="s">
        <v>466</v>
      </c>
      <c r="F5" s="6" t="s">
        <v>467</v>
      </c>
    </row>
    <row r="6" customFormat="false" ht="27.75" hidden="false" customHeight="true" outlineLevel="0" collapsed="false">
      <c r="A6" s="6" t="n">
        <v>5</v>
      </c>
      <c r="B6" s="6" t="n">
        <v>75</v>
      </c>
      <c r="C6" s="6" t="str">
        <f aca="false">Sheet1!A75</f>
        <v>Prior digital maturity self-assessment</v>
      </c>
      <c r="D6" s="6" t="s">
        <v>461</v>
      </c>
      <c r="E6" s="6" t="s">
        <v>468</v>
      </c>
      <c r="F6" s="6" t="s">
        <v>469</v>
      </c>
    </row>
    <row r="7" customFormat="false" ht="15" hidden="false" customHeight="true" outlineLevel="0" collapsed="false">
      <c r="A7" s="6" t="n">
        <v>6</v>
      </c>
      <c r="B7" s="6" t="n">
        <v>29</v>
      </c>
      <c r="C7" s="6" t="str">
        <f aca="false">Sheet1!A29</f>
        <v>Quality of product</v>
      </c>
      <c r="D7" s="6" t="s">
        <v>470</v>
      </c>
      <c r="E7" s="6" t="s">
        <v>471</v>
      </c>
      <c r="F7" s="6" t="s">
        <v>472</v>
      </c>
    </row>
    <row r="8" customFormat="false" ht="27.75" hidden="false" customHeight="true" outlineLevel="0" collapsed="false">
      <c r="A8" s="6" t="n">
        <v>7</v>
      </c>
      <c r="B8" s="6" t="s">
        <v>473</v>
      </c>
      <c r="C8" s="6" t="s">
        <v>474</v>
      </c>
      <c r="D8" s="6" t="s">
        <v>458</v>
      </c>
      <c r="E8" s="6" t="s">
        <v>475</v>
      </c>
      <c r="F8" s="6" t="s">
        <v>476</v>
      </c>
    </row>
    <row r="9" customFormat="false" ht="15" hidden="false" customHeight="true" outlineLevel="0" collapsed="false">
      <c r="A9" s="6" t="n">
        <v>8</v>
      </c>
      <c r="B9" s="6" t="s">
        <v>477</v>
      </c>
      <c r="C9" s="6" t="s">
        <v>478</v>
      </c>
      <c r="D9" s="6" t="s">
        <v>470</v>
      </c>
      <c r="E9" s="6" t="s">
        <v>479</v>
      </c>
      <c r="F9" s="6"/>
    </row>
    <row r="12" customFormat="false" ht="15" hidden="false" customHeight="true" outlineLevel="0" collapsed="false">
      <c r="B12" s="9" t="s">
        <v>480</v>
      </c>
    </row>
    <row r="13" customFormat="false" ht="15" hidden="false" customHeight="true" outlineLevel="0" collapsed="false">
      <c r="B13" s="10" t="s">
        <v>481</v>
      </c>
    </row>
    <row r="14" customFormat="false" ht="15" hidden="false" customHeight="true" outlineLevel="0" collapsed="false">
      <c r="B14" s="10" t="s">
        <v>482</v>
      </c>
    </row>
    <row r="15" customFormat="false" ht="15" hidden="false" customHeight="true" outlineLevel="0" collapsed="false">
      <c r="B15" s="10" t="s">
        <v>483</v>
      </c>
    </row>
    <row r="16" customFormat="false" ht="15" hidden="false" customHeight="true" outlineLevel="0" collapsed="false">
      <c r="B16" s="10" t="s">
        <v>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Giorgio Mazzotti</dc:creator>
  <dc:description/>
  <dc:language>en-US</dc:language>
  <cp:lastModifiedBy>Giorgio Mazzotti</cp:lastModifiedBy>
  <dcterms:modified xsi:type="dcterms:W3CDTF">2026-10-25T20:36:27Z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